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 P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sz val="10"/>
    </font>
    <font>
      <name val="Calibri"/>
      <b val="1"/>
      <color rgb="00FFFFFF"/>
      <sz val="11"/>
    </font>
    <font>
      <name val="Calibri"/>
      <sz val="10.5"/>
    </font>
    <font>
      <name val="Calibri"/>
      <b val="1"/>
      <sz val="10.5"/>
    </font>
    <font>
      <b val="1"/>
      <sz val="12"/>
    </font>
    <font>
      <i val="1"/>
      <sz val="9.5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E5C8A"/>
      </patternFill>
    </fill>
    <fill>
      <patternFill patternType="solid">
        <fgColor rgb="00F2F2F2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4" fillId="5" borderId="1" pivotButton="0" quotePrefix="0" xfId="0"/>
    <xf numFmtId="0" fontId="4" fillId="5" borderId="1" applyAlignment="1" pivotButton="0" quotePrefix="0" xfId="0">
      <alignment vertical="top" wrapText="1"/>
    </xf>
    <xf numFmtId="164" fontId="4" fillId="5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164" fontId="4" fillId="0" borderId="1" pivotButton="0" quotePrefix="0" xfId="0"/>
    <xf numFmtId="0" fontId="3" fillId="4" borderId="0" pivotButton="0" quotePrefix="0" xfId="0"/>
    <xf numFmtId="0" fontId="0" fillId="4" borderId="0" pivotButton="0" quotePrefix="0" xfId="0"/>
    <xf numFmtId="0" fontId="5" fillId="0" borderId="1" pivotButton="0" quotePrefix="0" xfId="0"/>
    <xf numFmtId="0" fontId="0" fillId="0" borderId="1" pivotButton="0" quotePrefix="0" xfId="0"/>
    <xf numFmtId="164" fontId="5" fillId="0" borderId="1" pivotButton="0" quotePrefix="0" xfId="0"/>
    <xf numFmtId="0" fontId="6" fillId="6" borderId="1" pivotButton="0" quotePrefix="0" xfId="0"/>
    <xf numFmtId="0" fontId="0" fillId="6" borderId="1" pivotButton="0" quotePrefix="0" xfId="0"/>
    <xf numFmtId="164" fontId="6" fillId="6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46" customWidth="1" min="3" max="3"/>
    <col width="15" customWidth="1" min="4" max="4"/>
    <col width="34" customWidth="1" min="5" max="5"/>
  </cols>
  <sheetData>
    <row r="1" ht="32" customHeight="1">
      <c r="A1" s="1" t="inlineStr">
        <is>
          <t>REGISTRO DE PAGOS - NICOLAS</t>
        </is>
      </c>
      <c r="B1" s="2" t="n"/>
      <c r="C1" s="2" t="n"/>
      <c r="D1" s="2" t="n"/>
      <c r="E1" s="2" t="n"/>
    </row>
    <row r="2" ht="34" customHeight="1">
      <c r="A2" s="3" t="inlineStr">
        <is>
          <t>Contabilidad personal de Nico: todo lo que va pagando del viaje, independiente de la Matriz Financiera familiar. Le contas cada pago a Claude por chat (fecha, rubro, detalle, monto) y esta hoja se actualiza sola. Los totales de abajo se recalculan solos con formulas.</t>
        </is>
      </c>
    </row>
    <row r="4" ht="18" customHeight="1">
      <c r="A4" s="4" t="inlineStr">
        <is>
          <t>Fecha</t>
        </is>
      </c>
      <c r="B4" s="4" t="inlineStr">
        <is>
          <t>Rubro</t>
        </is>
      </c>
      <c r="C4" s="4" t="inlineStr">
        <is>
          <t>Detalle del gasto</t>
        </is>
      </c>
      <c r="D4" s="4" t="inlineStr">
        <is>
          <t>Monto USD</t>
        </is>
      </c>
      <c r="E4" s="4" t="inlineStr">
        <is>
          <t>Notas</t>
        </is>
      </c>
    </row>
    <row r="5" ht="16" customHeight="1">
      <c r="A5" s="5" t="inlineStr">
        <is>
          <t>09-jul-2026</t>
        </is>
      </c>
      <c r="B5" s="5" t="inlineStr">
        <is>
          <t>Disney</t>
        </is>
      </c>
      <c r="C5" s="6" t="inlineStr">
        <is>
          <t>Sena de la reserva Disney Art of Animation #43028783 (Natalia y Nicolas, Nucleo 3) - Tarjeta credito Santander Rio</t>
        </is>
      </c>
      <c r="D5" s="7" t="n">
        <v>200</v>
      </c>
      <c r="E5" s="6" t="inlineStr">
        <is>
          <t>Confirmado: la sena de $200 fue para Disney, no para Universal.</t>
        </is>
      </c>
    </row>
    <row r="6" ht="16" customHeight="1">
      <c r="A6" s="8" t="inlineStr">
        <is>
          <t>27-jul-2026</t>
        </is>
      </c>
      <c r="B6" s="8" t="inlineStr">
        <is>
          <t>Hospedaje Miami</t>
        </is>
      </c>
      <c r="C6" s="9" t="inlineStr">
        <is>
          <t>Pago a Rodolfo por el alquiler del departamento en Miami (Hyde Beach House Apt 3708, factura #648: $3,520.00)</t>
        </is>
      </c>
      <c r="D6" s="10" t="n">
        <v>1000</v>
      </c>
      <c r="E6" s="9" t="inlineStr">
        <is>
          <t>Parte exacta de Nucleo 3 es $1,005.71 ($3,520/7 x 2). Puede quedar un saldo chico de ~$5.71 pendiente con Rodolfo.</t>
        </is>
      </c>
    </row>
    <row r="7" ht="16" customHeight="1">
      <c r="A7" s="5" t="n"/>
      <c r="B7" s="5" t="n"/>
      <c r="C7" s="5" t="n"/>
      <c r="D7" s="7" t="n"/>
      <c r="E7" s="5" t="n"/>
    </row>
    <row r="8" ht="16" customHeight="1">
      <c r="A8" s="8" t="n"/>
      <c r="B8" s="8" t="n"/>
      <c r="C8" s="8" t="n"/>
      <c r="D8" s="10" t="n"/>
      <c r="E8" s="8" t="n"/>
    </row>
    <row r="9" ht="16" customHeight="1">
      <c r="A9" s="5" t="n"/>
      <c r="B9" s="5" t="n"/>
      <c r="C9" s="5" t="n"/>
      <c r="D9" s="7" t="n"/>
      <c r="E9" s="5" t="n"/>
    </row>
    <row r="10" ht="16" customHeight="1">
      <c r="A10" s="8" t="n"/>
      <c r="B10" s="8" t="n"/>
      <c r="C10" s="8" t="n"/>
      <c r="D10" s="10" t="n"/>
      <c r="E10" s="8" t="n"/>
    </row>
    <row r="11" ht="16" customHeight="1">
      <c r="A11" s="5" t="n"/>
      <c r="B11" s="5" t="n"/>
      <c r="C11" s="5" t="n"/>
      <c r="D11" s="7" t="n"/>
      <c r="E11" s="5" t="n"/>
    </row>
    <row r="12" ht="16" customHeight="1">
      <c r="A12" s="8" t="n"/>
      <c r="B12" s="8" t="n"/>
      <c r="C12" s="8" t="n"/>
      <c r="D12" s="10" t="n"/>
      <c r="E12" s="8" t="n"/>
    </row>
    <row r="13" ht="16" customHeight="1">
      <c r="A13" s="5" t="n"/>
      <c r="B13" s="5" t="n"/>
      <c r="C13" s="5" t="n"/>
      <c r="D13" s="7" t="n"/>
      <c r="E13" s="5" t="n"/>
    </row>
    <row r="14" ht="16" customHeight="1">
      <c r="A14" s="8" t="n"/>
      <c r="B14" s="8" t="n"/>
      <c r="C14" s="8" t="n"/>
      <c r="D14" s="10" t="n"/>
      <c r="E14" s="8" t="n"/>
    </row>
    <row r="15" ht="16" customHeight="1">
      <c r="A15" s="5" t="n"/>
      <c r="B15" s="5" t="n"/>
      <c r="C15" s="5" t="n"/>
      <c r="D15" s="7" t="n"/>
      <c r="E15" s="5" t="n"/>
    </row>
    <row r="16" ht="16" customHeight="1">
      <c r="A16" s="8" t="n"/>
      <c r="B16" s="8" t="n"/>
      <c r="C16" s="8" t="n"/>
      <c r="D16" s="10" t="n"/>
      <c r="E16" s="8" t="n"/>
    </row>
    <row r="17" ht="16" customHeight="1">
      <c r="A17" s="5" t="n"/>
      <c r="B17" s="5" t="n"/>
      <c r="C17" s="5" t="n"/>
      <c r="D17" s="7" t="n"/>
      <c r="E17" s="5" t="n"/>
    </row>
    <row r="18" ht="16" customHeight="1">
      <c r="A18" s="8" t="n"/>
      <c r="B18" s="8" t="n"/>
      <c r="C18" s="8" t="n"/>
      <c r="D18" s="10" t="n"/>
      <c r="E18" s="8" t="n"/>
    </row>
    <row r="19" ht="16" customHeight="1">
      <c r="A19" s="5" t="n"/>
      <c r="B19" s="5" t="n"/>
      <c r="C19" s="5" t="n"/>
      <c r="D19" s="7" t="n"/>
      <c r="E19" s="5" t="n"/>
    </row>
    <row r="20" ht="16" customHeight="1">
      <c r="A20" s="8" t="n"/>
      <c r="B20" s="8" t="n"/>
      <c r="C20" s="8" t="n"/>
      <c r="D20" s="10" t="n"/>
      <c r="E20" s="8" t="n"/>
    </row>
    <row r="21" ht="16" customHeight="1">
      <c r="A21" s="5" t="n"/>
      <c r="B21" s="5" t="n"/>
      <c r="C21" s="5" t="n"/>
      <c r="D21" s="7" t="n"/>
      <c r="E21" s="5" t="n"/>
    </row>
    <row r="22" ht="16" customHeight="1">
      <c r="A22" s="8" t="n"/>
      <c r="B22" s="8" t="n"/>
      <c r="C22" s="8" t="n"/>
      <c r="D22" s="10" t="n"/>
      <c r="E22" s="8" t="n"/>
    </row>
    <row r="23" ht="16" customHeight="1">
      <c r="A23" s="5" t="n"/>
      <c r="B23" s="5" t="n"/>
      <c r="C23" s="5" t="n"/>
      <c r="D23" s="7" t="n"/>
      <c r="E23" s="5" t="n"/>
    </row>
    <row r="24" ht="16" customHeight="1">
      <c r="A24" s="8" t="n"/>
      <c r="B24" s="8" t="n"/>
      <c r="C24" s="8" t="n"/>
      <c r="D24" s="10" t="n"/>
      <c r="E24" s="8" t="n"/>
    </row>
    <row r="25" ht="16" customHeight="1">
      <c r="A25" s="5" t="n"/>
      <c r="B25" s="5" t="n"/>
      <c r="C25" s="5" t="n"/>
      <c r="D25" s="7" t="n"/>
      <c r="E25" s="5" t="n"/>
    </row>
    <row r="26" ht="16" customHeight="1">
      <c r="A26" s="8" t="n"/>
      <c r="B26" s="8" t="n"/>
      <c r="C26" s="8" t="n"/>
      <c r="D26" s="10" t="n"/>
      <c r="E26" s="8" t="n"/>
    </row>
    <row r="27" ht="16" customHeight="1">
      <c r="A27" s="5" t="n"/>
      <c r="B27" s="5" t="n"/>
      <c r="C27" s="5" t="n"/>
      <c r="D27" s="7" t="n"/>
      <c r="E27" s="5" t="n"/>
    </row>
    <row r="28" ht="16" customHeight="1">
      <c r="A28" s="8" t="n"/>
      <c r="B28" s="8" t="n"/>
      <c r="C28" s="8" t="n"/>
      <c r="D28" s="10" t="n"/>
      <c r="E28" s="8" t="n"/>
    </row>
    <row r="29" ht="16" customHeight="1">
      <c r="A29" s="5" t="n"/>
      <c r="B29" s="5" t="n"/>
      <c r="C29" s="5" t="n"/>
      <c r="D29" s="7" t="n"/>
      <c r="E29" s="5" t="n"/>
    </row>
    <row r="30" ht="16" customHeight="1">
      <c r="A30" s="8" t="n"/>
      <c r="B30" s="8" t="n"/>
      <c r="C30" s="8" t="n"/>
      <c r="D30" s="10" t="n"/>
      <c r="E30" s="8" t="n"/>
    </row>
    <row r="31" ht="16" customHeight="1">
      <c r="A31" s="5" t="n"/>
      <c r="B31" s="5" t="n"/>
      <c r="C31" s="5" t="n"/>
      <c r="D31" s="7" t="n"/>
      <c r="E31" s="5" t="n"/>
    </row>
    <row r="32" ht="16" customHeight="1">
      <c r="A32" s="8" t="n"/>
      <c r="B32" s="8" t="n"/>
      <c r="C32" s="8" t="n"/>
      <c r="D32" s="10" t="n"/>
      <c r="E32" s="8" t="n"/>
    </row>
    <row r="33" ht="16" customHeight="1">
      <c r="A33" s="5" t="n"/>
      <c r="B33" s="5" t="n"/>
      <c r="C33" s="5" t="n"/>
      <c r="D33" s="7" t="n"/>
      <c r="E33" s="5" t="n"/>
    </row>
    <row r="34" ht="16" customHeight="1">
      <c r="A34" s="8" t="n"/>
      <c r="B34" s="8" t="n"/>
      <c r="C34" s="8" t="n"/>
      <c r="D34" s="10" t="n"/>
      <c r="E34" s="8" t="n"/>
    </row>
    <row r="35" ht="16" customHeight="1">
      <c r="A35" s="5" t="n"/>
      <c r="B35" s="5" t="n"/>
      <c r="C35" s="5" t="n"/>
      <c r="D35" s="7" t="n"/>
      <c r="E35" s="5" t="n"/>
    </row>
    <row r="36" ht="16" customHeight="1">
      <c r="A36" s="8" t="n"/>
      <c r="B36" s="8" t="n"/>
      <c r="C36" s="8" t="n"/>
      <c r="D36" s="10" t="n"/>
      <c r="E36" s="8" t="n"/>
    </row>
    <row r="37" ht="16" customHeight="1">
      <c r="A37" s="5" t="n"/>
      <c r="B37" s="5" t="n"/>
      <c r="C37" s="5" t="n"/>
      <c r="D37" s="7" t="n"/>
      <c r="E37" s="5" t="n"/>
    </row>
    <row r="38" ht="16" customHeight="1">
      <c r="A38" s="8" t="n"/>
      <c r="B38" s="8" t="n"/>
      <c r="C38" s="8" t="n"/>
      <c r="D38" s="10" t="n"/>
      <c r="E38" s="8" t="n"/>
    </row>
    <row r="39" ht="16" customHeight="1">
      <c r="A39" s="5" t="n"/>
      <c r="B39" s="5" t="n"/>
      <c r="C39" s="5" t="n"/>
      <c r="D39" s="7" t="n"/>
      <c r="E39" s="5" t="n"/>
    </row>
    <row r="40" ht="16" customHeight="1">
      <c r="A40" s="8" t="n"/>
      <c r="B40" s="8" t="n"/>
      <c r="C40" s="8" t="n"/>
      <c r="D40" s="10" t="n"/>
      <c r="E40" s="8" t="n"/>
    </row>
    <row r="41" ht="16" customHeight="1">
      <c r="A41" s="5" t="n"/>
      <c r="B41" s="5" t="n"/>
      <c r="C41" s="5" t="n"/>
      <c r="D41" s="7" t="n"/>
      <c r="E41" s="5" t="n"/>
    </row>
    <row r="42" ht="16" customHeight="1">
      <c r="A42" s="8" t="n"/>
      <c r="B42" s="8" t="n"/>
      <c r="C42" s="8" t="n"/>
      <c r="D42" s="10" t="n"/>
      <c r="E42" s="8" t="n"/>
    </row>
    <row r="43" ht="16" customHeight="1">
      <c r="A43" s="5" t="n"/>
      <c r="B43" s="5" t="n"/>
      <c r="C43" s="5" t="n"/>
      <c r="D43" s="7" t="n"/>
      <c r="E43" s="5" t="n"/>
    </row>
    <row r="44" ht="16" customHeight="1">
      <c r="A44" s="8" t="n"/>
      <c r="B44" s="8" t="n"/>
      <c r="C44" s="8" t="n"/>
      <c r="D44" s="10" t="n"/>
      <c r="E44" s="8" t="n"/>
    </row>
    <row r="45" ht="16" customHeight="1">
      <c r="A45" s="5" t="n"/>
      <c r="B45" s="5" t="n"/>
      <c r="C45" s="5" t="n"/>
      <c r="D45" s="7" t="n"/>
      <c r="E45" s="5" t="n"/>
    </row>
    <row r="46" ht="16" customHeight="1">
      <c r="A46" s="8" t="n"/>
      <c r="B46" s="8" t="n"/>
      <c r="C46" s="8" t="n"/>
      <c r="D46" s="10" t="n"/>
      <c r="E46" s="8" t="n"/>
    </row>
    <row r="47" ht="16" customHeight="1">
      <c r="A47" s="5" t="n"/>
      <c r="B47" s="5" t="n"/>
      <c r="C47" s="5" t="n"/>
      <c r="D47" s="7" t="n"/>
      <c r="E47" s="5" t="n"/>
    </row>
    <row r="48" ht="16" customHeight="1">
      <c r="A48" s="8" t="n"/>
      <c r="B48" s="8" t="n"/>
      <c r="C48" s="8" t="n"/>
      <c r="D48" s="10" t="n"/>
      <c r="E48" s="8" t="n"/>
    </row>
    <row r="49" ht="16" customHeight="1">
      <c r="A49" s="5" t="n"/>
      <c r="B49" s="5" t="n"/>
      <c r="C49" s="5" t="n"/>
      <c r="D49" s="7" t="n"/>
      <c r="E49" s="5" t="n"/>
    </row>
    <row r="50" ht="16" customHeight="1">
      <c r="A50" s="8" t="n"/>
      <c r="B50" s="8" t="n"/>
      <c r="C50" s="8" t="n"/>
      <c r="D50" s="10" t="n"/>
      <c r="E50" s="8" t="n"/>
    </row>
    <row r="51" ht="16" customHeight="1">
      <c r="A51" s="5" t="n"/>
      <c r="B51" s="5" t="n"/>
      <c r="C51" s="5" t="n"/>
      <c r="D51" s="7" t="n"/>
      <c r="E51" s="5" t="n"/>
    </row>
    <row r="52" ht="16" customHeight="1">
      <c r="A52" s="8" t="n"/>
      <c r="B52" s="8" t="n"/>
      <c r="C52" s="8" t="n"/>
      <c r="D52" s="10" t="n"/>
      <c r="E52" s="8" t="n"/>
    </row>
    <row r="53" ht="16" customHeight="1">
      <c r="A53" s="5" t="n"/>
      <c r="B53" s="5" t="n"/>
      <c r="C53" s="5" t="n"/>
      <c r="D53" s="7" t="n"/>
      <c r="E53" s="5" t="n"/>
    </row>
    <row r="54" ht="16" customHeight="1">
      <c r="A54" s="8" t="n"/>
      <c r="B54" s="8" t="n"/>
      <c r="C54" s="8" t="n"/>
      <c r="D54" s="10" t="n"/>
      <c r="E54" s="8" t="n"/>
    </row>
    <row r="55" ht="16" customHeight="1">
      <c r="A55" s="5" t="n"/>
      <c r="B55" s="5" t="n"/>
      <c r="C55" s="5" t="n"/>
      <c r="D55" s="7" t="n"/>
      <c r="E55" s="5" t="n"/>
    </row>
    <row r="56" ht="16" customHeight="1">
      <c r="A56" s="8" t="n"/>
      <c r="B56" s="8" t="n"/>
      <c r="C56" s="8" t="n"/>
      <c r="D56" s="10" t="n"/>
      <c r="E56" s="8" t="n"/>
    </row>
    <row r="57" ht="16" customHeight="1">
      <c r="A57" s="5" t="n"/>
      <c r="B57" s="5" t="n"/>
      <c r="C57" s="5" t="n"/>
      <c r="D57" s="7" t="n"/>
      <c r="E57" s="5" t="n"/>
    </row>
    <row r="58" ht="16" customHeight="1">
      <c r="A58" s="8" t="n"/>
      <c r="B58" s="8" t="n"/>
      <c r="C58" s="8" t="n"/>
      <c r="D58" s="10" t="n"/>
      <c r="E58" s="8" t="n"/>
    </row>
    <row r="59" ht="16" customHeight="1">
      <c r="A59" s="5" t="n"/>
      <c r="B59" s="5" t="n"/>
      <c r="C59" s="5" t="n"/>
      <c r="D59" s="7" t="n"/>
      <c r="E59" s="5" t="n"/>
    </row>
    <row r="60" ht="16" customHeight="1">
      <c r="A60" s="8" t="n"/>
      <c r="B60" s="8" t="n"/>
      <c r="C60" s="8" t="n"/>
      <c r="D60" s="10" t="n"/>
      <c r="E60" s="8" t="n"/>
    </row>
    <row r="61" ht="16" customHeight="1">
      <c r="A61" s="5" t="n"/>
      <c r="B61" s="5" t="n"/>
      <c r="C61" s="5" t="n"/>
      <c r="D61" s="7" t="n"/>
      <c r="E61" s="5" t="n"/>
    </row>
    <row r="62" ht="16" customHeight="1">
      <c r="A62" s="8" t="n"/>
      <c r="B62" s="8" t="n"/>
      <c r="C62" s="8" t="n"/>
      <c r="D62" s="10" t="n"/>
      <c r="E62" s="8" t="n"/>
    </row>
    <row r="63" ht="16" customHeight="1">
      <c r="A63" s="5" t="n"/>
      <c r="B63" s="5" t="n"/>
      <c r="C63" s="5" t="n"/>
      <c r="D63" s="7" t="n"/>
      <c r="E63" s="5" t="n"/>
    </row>
    <row r="64" ht="16" customHeight="1">
      <c r="A64" s="8" t="n"/>
      <c r="B64" s="8" t="n"/>
      <c r="C64" s="8" t="n"/>
      <c r="D64" s="10" t="n"/>
      <c r="E64" s="8" t="n"/>
    </row>
    <row r="65" ht="16" customHeight="1">
      <c r="A65" s="5" t="n"/>
      <c r="B65" s="5" t="n"/>
      <c r="C65" s="5" t="n"/>
      <c r="D65" s="7" t="n"/>
      <c r="E65" s="5" t="n"/>
    </row>
    <row r="66" ht="16" customHeight="1">
      <c r="A66" s="8" t="n"/>
      <c r="B66" s="8" t="n"/>
      <c r="C66" s="8" t="n"/>
      <c r="D66" s="10" t="n"/>
      <c r="E66" s="8" t="n"/>
    </row>
    <row r="68" ht="18" customHeight="1">
      <c r="A68" s="11" t="inlineStr">
        <is>
          <t>RESUMEN POR RUBRO (se calcula solo)</t>
        </is>
      </c>
      <c r="B68" s="12" t="n"/>
      <c r="C68" s="12" t="n"/>
      <c r="D68" s="12" t="n"/>
      <c r="E68" s="12" t="n"/>
    </row>
    <row r="69" ht="16" customHeight="1">
      <c r="A69" s="13" t="inlineStr">
        <is>
          <t>Vuelos</t>
        </is>
      </c>
      <c r="B69" s="14" t="n"/>
      <c r="C69" s="14" t="n"/>
      <c r="D69" s="15">
        <f>SUMIF($B$5:$B$66,"Vuelos",$D$5:$D$66)</f>
        <v/>
      </c>
      <c r="E69" s="14" t="n"/>
    </row>
    <row r="70" ht="16" customHeight="1">
      <c r="A70" s="13" t="inlineStr">
        <is>
          <t>Disney</t>
        </is>
      </c>
      <c r="B70" s="14" t="n"/>
      <c r="C70" s="14" t="n"/>
      <c r="D70" s="15">
        <f>SUMIF($B$5:$B$66,"Disney",$D$5:$D$66)</f>
        <v/>
      </c>
      <c r="E70" s="14" t="n"/>
    </row>
    <row r="71" ht="16" customHeight="1">
      <c r="A71" s="13" t="inlineStr">
        <is>
          <t>Universal</t>
        </is>
      </c>
      <c r="B71" s="14" t="n"/>
      <c r="C71" s="14" t="n"/>
      <c r="D71" s="15">
        <f>SUMIF($B$5:$B$66,"Universal",$D$5:$D$66)</f>
        <v/>
      </c>
      <c r="E71" s="14" t="n"/>
    </row>
    <row r="72" ht="16" customHeight="1">
      <c r="A72" s="13" t="inlineStr">
        <is>
          <t>Hospedaje Miami</t>
        </is>
      </c>
      <c r="B72" s="14" t="n"/>
      <c r="C72" s="14" t="n"/>
      <c r="D72" s="15">
        <f>SUMIF($B$5:$B$66,"Hospedaje Miami",$D$5:$D$66)</f>
        <v/>
      </c>
      <c r="E72" s="14" t="n"/>
    </row>
    <row r="73" ht="16" customHeight="1">
      <c r="A73" s="13" t="inlineStr">
        <is>
          <t>Auto/Transporte</t>
        </is>
      </c>
      <c r="B73" s="14" t="n"/>
      <c r="C73" s="14" t="n"/>
      <c r="D73" s="15">
        <f>SUMIF($B$5:$B$66,"Auto/Transporte",$D$5:$D$66)</f>
        <v/>
      </c>
      <c r="E73" s="14" t="n"/>
    </row>
    <row r="74" ht="16" customHeight="1">
      <c r="A74" s="13" t="inlineStr">
        <is>
          <t>Comida</t>
        </is>
      </c>
      <c r="B74" s="14" t="n"/>
      <c r="C74" s="14" t="n"/>
      <c r="D74" s="15">
        <f>SUMIF($B$5:$B$66,"Comida",$D$5:$D$66)</f>
        <v/>
      </c>
      <c r="E74" s="14" t="n"/>
    </row>
    <row r="75" ht="16" customHeight="1">
      <c r="A75" s="13" t="inlineStr">
        <is>
          <t>Compras</t>
        </is>
      </c>
      <c r="B75" s="14" t="n"/>
      <c r="C75" s="14" t="n"/>
      <c r="D75" s="15">
        <f>SUMIF($B$5:$B$66,"Compras",$D$5:$D$66)</f>
        <v/>
      </c>
      <c r="E75" s="14" t="n"/>
    </row>
    <row r="76" ht="16" customHeight="1">
      <c r="A76" s="13" t="inlineStr">
        <is>
          <t>Seguro</t>
        </is>
      </c>
      <c r="B76" s="14" t="n"/>
      <c r="C76" s="14" t="n"/>
      <c r="D76" s="15">
        <f>SUMIF($B$5:$B$66,"Seguro",$D$5:$D$66)</f>
        <v/>
      </c>
      <c r="E76" s="14" t="n"/>
    </row>
    <row r="77" ht="16" customHeight="1">
      <c r="A77" s="13" t="inlineStr">
        <is>
          <t>Propinas</t>
        </is>
      </c>
      <c r="B77" s="14" t="n"/>
      <c r="C77" s="14" t="n"/>
      <c r="D77" s="15">
        <f>SUMIF($B$5:$B$66,"Propinas",$D$5:$D$66)</f>
        <v/>
      </c>
      <c r="E77" s="14" t="n"/>
    </row>
    <row r="78" ht="16" customHeight="1">
      <c r="A78" s="13" t="inlineStr">
        <is>
          <t>Otro</t>
        </is>
      </c>
      <c r="B78" s="14" t="n"/>
      <c r="C78" s="14" t="n"/>
      <c r="D78" s="15">
        <f>SUMIF($B$5:$B$66,"Otro",$D$5:$D$66)</f>
        <v/>
      </c>
      <c r="E78" s="14" t="n"/>
    </row>
    <row r="79" ht="22" customHeight="1">
      <c r="A79" s="16" t="inlineStr">
        <is>
          <t>TOTAL PAGADO POR NICO</t>
        </is>
      </c>
      <c r="B79" s="17" t="n"/>
      <c r="C79" s="17" t="n"/>
      <c r="D79" s="18">
        <f>SUM($D$5:$D$66)</f>
        <v/>
      </c>
      <c r="E79" s="17" t="n"/>
    </row>
    <row r="80">
      <c r="A80" s="19" t="inlineStr">
        <is>
          <t>Cantidad de pagos registrados</t>
        </is>
      </c>
      <c r="D80" s="19">
        <f>COUNTA($B$5:$B$66)</f>
        <v/>
      </c>
    </row>
  </sheetData>
  <mergeCells count="3">
    <mergeCell ref="A2:E2"/>
    <mergeCell ref="A1:E1"/>
    <mergeCell ref="A68:E68"/>
  </mergeCells>
  <dataValidations count="1">
    <dataValidation sqref="B5:B66" showDropDown="0" showInputMessage="0" showErrorMessage="0" allowBlank="1" type="list">
      <formula1>"Vuelos,Disney,Universal,Hospedaje Miami,Auto/Transporte,Comida,Compras,Seguro,Propinas,Otro"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2026-07-29T21:43:47Z</dcterms:created>
  <dcterms:modified xsi:type="dcterms:W3CDTF">2026-07-29T21:43:47Z</dcterms:modified>
</cp:coreProperties>
</file>