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y Reglas" sheetId="1" state="visible" r:id="rId1"/>
    <sheet name="Matriz Financiera" sheetId="2" state="visible" r:id="rId2"/>
    <sheet name="Registro de Gastos" sheetId="3" state="visible" r:id="rId3"/>
    <sheet name="Itinerario Flash" sheetId="4" state="visible" r:id="rId4"/>
    <sheet name="Logistica Terrestre y Vuelos" sheetId="5" state="visible" r:id="rId5"/>
    <sheet name="Guia Operativa" sheetId="6" state="visible" r:id="rId6"/>
  </sheets>
  <definedNames>
    <definedName name="N1_PAX">'Matriz Financiera'!$J$2</definedName>
    <definedName name="N2_PAX">'Matriz Financiera'!$J$3</definedName>
    <definedName name="N3_PAX">'Matriz Financiera'!$J$4</definedName>
    <definedName name="TOTAL_PAX">'Matriz Financiera'!$J$5</definedName>
    <definedName name="N1_ADULTS">'Matriz Financiera'!$J$6</definedName>
    <definedName name="N2_ADULTS">'Matriz Financiera'!$J$7</definedName>
    <definedName name="N3_ADULTS">'Matriz Financiera'!$J$8</definedName>
    <definedName name="TOTAL_ADULTS">'Matriz Financiera'!$J$9</definedName>
    <definedName name="DIAS_COMIDA">'Matriz Financiera'!$J$10</definedName>
  </definedNames>
  <calcPr calcId="124519" fullCalcOnLoad="1"/>
</workbook>
</file>

<file path=xl/styles.xml><?xml version="1.0" encoding="utf-8"?>
<styleSheet xmlns="http://schemas.openxmlformats.org/spreadsheetml/2006/main">
  <numFmts count="1">
    <numFmt numFmtId="164" formatCode="$#,##0.00"/>
  </numFmts>
  <fonts count="15">
    <font>
      <name val="Calibri"/>
      <family val="2"/>
      <color theme="1"/>
      <sz val="11"/>
      <scheme val="minor"/>
    </font>
    <font>
      <name val="Calibri"/>
      <b val="1"/>
      <color rgb="00FFFFFF"/>
      <sz val="18"/>
    </font>
    <font>
      <name val="Calibri"/>
      <i val="1"/>
      <color rgb="00FFFFFF"/>
      <sz val="12"/>
    </font>
    <font>
      <name val="Calibri"/>
      <b val="1"/>
      <color rgb="00FFFFFF"/>
      <sz val="11"/>
    </font>
    <font>
      <name val="Calibri"/>
      <sz val="10.5"/>
    </font>
    <font>
      <name val="Calibri"/>
      <b val="1"/>
      <sz val="10.5"/>
    </font>
    <font>
      <name val="Calibri"/>
      <b val="1"/>
      <color rgb="00C00000"/>
      <sz val="10.5"/>
    </font>
    <font>
      <name val="Calibri"/>
      <color rgb="007F6000"/>
      <sz val="10.5"/>
    </font>
    <font>
      <b val="1"/>
      <sz val="11"/>
    </font>
    <font>
      <i val="1"/>
      <sz val="10"/>
    </font>
    <font>
      <i val="1"/>
      <sz val="9.5"/>
    </font>
    <font>
      <b val="1"/>
      <color rgb="00375623"/>
      <sz val="9.5"/>
    </font>
    <font>
      <b val="1"/>
      <color rgb="007F6000"/>
      <sz val="9.5"/>
    </font>
    <font>
      <b val="1"/>
    </font>
    <font>
      <name val="Cambria Math"/>
      <b val="1"/>
      <i val="1"/>
      <sz val="13"/>
    </font>
  </fonts>
  <fills count="11">
    <fill>
      <patternFill/>
    </fill>
    <fill>
      <patternFill patternType="gray125"/>
    </fill>
    <fill>
      <patternFill patternType="solid">
        <fgColor rgb="001F3864"/>
      </patternFill>
    </fill>
    <fill>
      <patternFill patternType="solid">
        <fgColor rgb="002E5C8A"/>
      </patternFill>
    </fill>
    <fill>
      <patternFill patternType="solid">
        <fgColor rgb="00D9E2F3"/>
      </patternFill>
    </fill>
    <fill>
      <patternFill patternType="solid">
        <fgColor rgb="00C00000"/>
      </patternFill>
    </fill>
    <fill>
      <patternFill patternType="solid">
        <fgColor rgb="00FCE4E4"/>
      </patternFill>
    </fill>
    <fill>
      <patternFill patternType="solid">
        <fgColor rgb="00FFF2CC"/>
      </patternFill>
    </fill>
    <fill>
      <patternFill patternType="solid">
        <fgColor rgb="00FFC000"/>
      </patternFill>
    </fill>
    <fill>
      <patternFill patternType="solid">
        <fgColor rgb="00F2F2F2"/>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3" fillId="3" borderId="0" applyAlignment="1" pivotButton="0" quotePrefix="0" xfId="0">
      <alignment horizontal="left" vertical="center" indent="1"/>
    </xf>
    <xf numFmtId="0" fontId="0" fillId="3" borderId="0" pivotButton="0" quotePrefix="0" xfId="0"/>
    <xf numFmtId="0" fontId="4" fillId="0" borderId="0" applyAlignment="1" pivotButton="0" quotePrefix="0" xfId="0">
      <alignment vertical="top" wrapText="1"/>
    </xf>
    <xf numFmtId="0" fontId="3" fillId="3" borderId="0" applyAlignment="1" pivotButton="0" quotePrefix="0" xfId="0">
      <alignment horizontal="center" vertical="center"/>
    </xf>
    <xf numFmtId="0" fontId="5" fillId="4" borderId="1" applyAlignment="1" pivotButton="0" quotePrefix="0" xfId="0">
      <alignment vertical="top" wrapText="1"/>
    </xf>
    <xf numFmtId="0" fontId="4" fillId="4" borderId="1" applyAlignment="1" pivotButton="0" quotePrefix="0" xfId="0">
      <alignment vertical="top" wrapText="1"/>
    </xf>
    <xf numFmtId="0" fontId="0" fillId="4" borderId="1" pivotButton="0" quotePrefix="0" xfId="0"/>
    <xf numFmtId="0" fontId="3" fillId="5" borderId="0" applyAlignment="1" pivotButton="0" quotePrefix="0" xfId="0">
      <alignment horizontal="left" vertical="center" indent="1"/>
    </xf>
    <xf numFmtId="0" fontId="0" fillId="5" borderId="0" pivotButton="0" quotePrefix="0" xfId="0"/>
    <xf numFmtId="0" fontId="6" fillId="6" borderId="0" applyAlignment="1" pivotButton="0" quotePrefix="0" xfId="0">
      <alignment vertical="top" wrapText="1"/>
    </xf>
    <xf numFmtId="0" fontId="3" fillId="3" borderId="0" applyAlignment="1" pivotButton="0" quotePrefix="0" xfId="0">
      <alignment horizontal="center"/>
    </xf>
    <xf numFmtId="0" fontId="4" fillId="0" borderId="0" pivotButton="0" quotePrefix="0" xfId="0"/>
    <xf numFmtId="0" fontId="5" fillId="4" borderId="0" applyAlignment="1" pivotButton="0" quotePrefix="0" xfId="0">
      <alignment horizontal="center" vertical="center"/>
    </xf>
    <xf numFmtId="0" fontId="3" fillId="3" borderId="1" applyAlignment="1" pivotButton="0" quotePrefix="0" xfId="0">
      <alignment horizontal="center" vertical="top" wrapText="1"/>
    </xf>
    <xf numFmtId="0" fontId="5" fillId="0" borderId="1" applyAlignment="1" pivotButton="0" quotePrefix="0" xfId="0">
      <alignment vertical="top" wrapText="1"/>
    </xf>
    <xf numFmtId="0" fontId="4" fillId="0" borderId="1" applyAlignment="1" pivotButton="0" quotePrefix="0" xfId="0">
      <alignment vertical="top" wrapText="1"/>
    </xf>
    <xf numFmtId="164" fontId="5" fillId="0" borderId="1" pivotButton="0" quotePrefix="0" xfId="0"/>
    <xf numFmtId="164" fontId="0" fillId="0" borderId="1" pivotButton="0" quotePrefix="0" xfId="0"/>
    <xf numFmtId="164" fontId="7" fillId="7" borderId="1" pivotButton="0" quotePrefix="0" xfId="0"/>
    <xf numFmtId="0" fontId="5" fillId="7" borderId="0" applyAlignment="1" pivotButton="0" quotePrefix="0" xfId="0">
      <alignment horizontal="center" vertical="center"/>
    </xf>
    <xf numFmtId="0" fontId="8" fillId="8" borderId="1" pivotButton="0" quotePrefix="0" xfId="0"/>
    <xf numFmtId="0" fontId="0" fillId="8" borderId="1" pivotButton="0" quotePrefix="0" xfId="0"/>
    <xf numFmtId="164" fontId="8" fillId="8" borderId="1" pivotButton="0" quotePrefix="0" xfId="0"/>
    <xf numFmtId="0" fontId="5" fillId="0" borderId="0" pivotButton="0" quotePrefix="0" xfId="0"/>
    <xf numFmtId="0" fontId="9" fillId="4" borderId="0" applyAlignment="1" pivotButton="0" quotePrefix="0" xfId="0">
      <alignment vertical="top" wrapText="1"/>
    </xf>
    <xf numFmtId="0" fontId="3" fillId="3" borderId="1" applyAlignment="1" pivotButton="0" quotePrefix="0" xfId="0">
      <alignment horizontal="center" vertical="center"/>
    </xf>
    <xf numFmtId="0" fontId="4" fillId="9" borderId="1" applyAlignment="1" pivotButton="0" quotePrefix="0" xfId="0">
      <alignment vertical="top" wrapText="1"/>
    </xf>
    <xf numFmtId="0" fontId="4" fillId="9" borderId="1" pivotButton="0" quotePrefix="0" xfId="0"/>
    <xf numFmtId="164" fontId="4" fillId="9" borderId="1" pivotButton="0" quotePrefix="0" xfId="0"/>
    <xf numFmtId="0" fontId="4" fillId="0" borderId="1" pivotButton="0" quotePrefix="0" xfId="0"/>
    <xf numFmtId="164" fontId="4" fillId="0" borderId="1" pivotButton="0" quotePrefix="0" xfId="0"/>
    <xf numFmtId="0" fontId="5" fillId="0" borderId="1" pivotButton="0" quotePrefix="0" xfId="0"/>
    <xf numFmtId="0" fontId="0" fillId="0" borderId="1" pivotButton="0" quotePrefix="0" xfId="0"/>
    <xf numFmtId="0" fontId="0" fillId="0" borderId="4" pivotButton="0" quotePrefix="0" xfId="0"/>
    <xf numFmtId="0" fontId="0" fillId="0" borderId="5" pivotButton="0" quotePrefix="0" xfId="0"/>
    <xf numFmtId="0" fontId="10" fillId="0" borderId="1" applyAlignment="1" pivotButton="0" quotePrefix="0" xfId="0">
      <alignment vertical="top" wrapText="1"/>
    </xf>
    <xf numFmtId="0" fontId="10" fillId="0" borderId="0" applyAlignment="1" pivotButton="0" quotePrefix="0" xfId="0">
      <alignment vertical="top" wrapText="1"/>
    </xf>
    <xf numFmtId="0" fontId="4" fillId="0" borderId="1" applyAlignment="1" pivotButton="0" quotePrefix="0" xfId="0">
      <alignment horizontal="center" vertical="center"/>
    </xf>
    <xf numFmtId="0" fontId="11" fillId="10" borderId="1" applyAlignment="1" pivotButton="0" quotePrefix="0" xfId="0">
      <alignment horizontal="center" vertical="center"/>
    </xf>
    <xf numFmtId="0" fontId="12" fillId="7" borderId="1" applyAlignment="1" pivotButton="0" quotePrefix="0" xfId="0">
      <alignment horizontal="center" vertical="center"/>
    </xf>
    <xf numFmtId="0" fontId="10" fillId="0" borderId="0" pivotButton="0" quotePrefix="0" xfId="0"/>
    <xf numFmtId="0" fontId="3" fillId="3" borderId="1" applyAlignment="1" pivotButton="0" quotePrefix="0" xfId="0">
      <alignment horizontal="left" vertical="center"/>
    </xf>
    <xf numFmtId="0" fontId="13" fillId="8" borderId="1" pivotButton="0" quotePrefix="0" xfId="0"/>
    <xf numFmtId="164" fontId="13" fillId="8" borderId="1" pivotButton="0" quotePrefix="0" xfId="0"/>
    <xf numFmtId="0" fontId="14" fillId="4"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Presupuesto Florida 2027</author>
  </authors>
  <commentList>
    <comment ref="B5" authorId="0" shapeId="0">
      <text>
        <t>Montos reales facturados por Disney (no estimados). Saldos vencen 06-ene-2027.</t>
      </text>
    </comment>
    <comment ref="B6" authorId="0" shapeId="0">
      <text>
        <t>N1 = monto real de su reserva. N2/N3 = mitad de la reserva conjunta 63W124U2 ($4,433.94/2). Saldos vencen 29-dic-2026.</t>
      </text>
    </comment>
    <comment ref="C7" authorId="0" shapeId="0">
      <text>
        <t>A COMPLETAR: cargar aqui el costo total real de los 7 pasajes cuando se conozca.</t>
      </text>
    </comment>
    <comment ref="B8" authorId="0" shapeId="0">
      <text>
        <t>Estimado sourced del analisis de traslados del grupo (~$25.71/persona x 7 / 2 tramos = ~$90 por tramo de 2 UberXL). Editable.</t>
      </text>
    </comment>
    <comment ref="B9" authorId="0" shapeId="0">
      <text>
        <t>Estimado sourced, mismo criterio que el traslado de llegada. Editable.</t>
      </text>
    </comment>
    <comment ref="B10" authorId="0" shapeId="0">
      <text>
        <t>A COMPLETAR: Rodolfo ya pago el total del alquiler. Cargar aca ese monto total cuando se confirme, para que se calcule la parte de cada nucleo (ver fila Rodolfo en Deudas Entre Personas, hoja Registro de Gastos).</t>
      </text>
    </comment>
    <comment ref="B11" authorId="0" shapeId="0">
      <text>
        <t>A COMPLETAR. Ver Pestana 4 'Logistica Terrestre y Vuelos' para el desglose de este monto (tarifa + seguros + peajes + estacionamiento).</t>
      </text>
    </comment>
    <comment ref="B12" authorId="0" shapeId="0">
      <text>
        <t>Total = 60 x TOTAL_ADULTS x DIAS_COMIDA (formula activa). Reparto por adultos: Delfina (6 anos) no cuenta como adulto.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ht="36" customHeight="1">
      <c r="A1" s="1" t="inlineStr">
        <is>
          <t>PRESUPUESTO FLORIDA 2027 - FAMILIA MAYDANA / AGULLO</t>
        </is>
      </c>
      <c r="B1" s="2" t="n"/>
      <c r="C1" s="2" t="n"/>
      <c r="D1" s="2" t="n"/>
      <c r="E1" s="2" t="n"/>
      <c r="F1" s="2" t="n"/>
    </row>
    <row r="2" ht="20" customHeight="1">
      <c r="A2" s="3" t="inlineStr">
        <is>
          <t>Orlando (Disney + Universal) y Miami (Hollywood Beach) | 05-feb al 22-feb-2027 | Grupo de 7 personas</t>
        </is>
      </c>
    </row>
    <row r="4" ht="20" customHeight="1">
      <c r="A4" s="4" t="inlineStr">
        <is>
          <t>REGLAS DE DIVISION DE GASTOS POR NUCLEO</t>
        </is>
      </c>
      <c r="B4" s="5" t="n"/>
      <c r="C4" s="5" t="n"/>
      <c r="D4" s="5" t="n"/>
      <c r="E4" s="5" t="n"/>
      <c r="F4" s="5" t="n"/>
    </row>
    <row r="5" ht="60" customHeight="1">
      <c r="A5" s="6" t="inlineStr">
        <is>
          <t>El grupo (N=7) se organiza en 3 nucleos financieros independientes. Cada nucleo paga sus propios gastos de tierra (hospedaje, entradas, comida, transporte local) segun lo facturado a su nombre. La UNICA excepcion es el rubro Vuelos: por regla especial, el Nucleo 1 absorbe el 100% del costo aereo de los 7 pasajeros (EZE-MIA-MCO ida / MCO-MIA...MIA-EZE vuelta), y los Nucleos 2 y 3 quedan completamente exentos de ese gasto (0% vuelos).</t>
        </is>
      </c>
    </row>
    <row r="7" ht="18" customHeight="1">
      <c r="A7" s="7" t="inlineStr">
        <is>
          <t>Nucleo</t>
        </is>
      </c>
      <c r="B7" s="7" t="inlineStr">
        <is>
          <t>Integrantes</t>
        </is>
      </c>
      <c r="C7" s="7" t="inlineStr">
        <is>
          <t>Regla de gasto</t>
        </is>
      </c>
    </row>
    <row r="8" ht="46" customHeight="1">
      <c r="A8" s="8" t="inlineStr">
        <is>
          <t>NUCLEO 1</t>
        </is>
      </c>
      <c r="B8" s="9" t="inlineStr">
        <is>
          <t>Rodolfo, Claudia, Delfina (6)</t>
        </is>
      </c>
      <c r="C8" s="9" t="inlineStr">
        <is>
          <t>Paga 100% de sus gastos propios (Disney, Universal, etc.) + 100% de TODOS los tickets aereos del grupo (EZE-MCO / MCO-MIA / MIA-EZE).</t>
        </is>
      </c>
      <c r="D8" s="10" t="n"/>
      <c r="E8" s="10" t="n"/>
      <c r="F8" s="10" t="n"/>
    </row>
    <row r="9" ht="46" customHeight="1">
      <c r="A9" s="8" t="inlineStr">
        <is>
          <t>NUCLEO 2</t>
        </is>
      </c>
      <c r="B9" s="9" t="inlineStr">
        <is>
          <t>Florencia, German</t>
        </is>
      </c>
      <c r="C9" s="9" t="inlineStr">
        <is>
          <t>Paga 100% de sus gastos en tierra. 0% de gastos aereos (exento).</t>
        </is>
      </c>
      <c r="D9" s="10" t="n"/>
      <c r="E9" s="10" t="n"/>
      <c r="F9" s="10" t="n"/>
    </row>
    <row r="10" ht="46" customHeight="1">
      <c r="A10" s="8" t="inlineStr">
        <is>
          <t>NUCLEO 3</t>
        </is>
      </c>
      <c r="B10" s="9" t="inlineStr">
        <is>
          <t>Nicolas, Natalia</t>
        </is>
      </c>
      <c r="C10" s="9" t="inlineStr">
        <is>
          <t>Paga 100% de sus gastos en tierra compartidos. 0% de gastos aereos (exento). El costo individual de Nicolas es exactamente la mitad (=Costo_Nucleo3/2) del total del nucleo.</t>
        </is>
      </c>
      <c r="D10" s="10" t="n"/>
      <c r="E10" s="10" t="n"/>
      <c r="F10" s="10" t="n"/>
    </row>
    <row r="12" ht="20" customHeight="1">
      <c r="A12" s="11" t="inlineStr">
        <is>
          <t>ALERTAS OBLIGATORIAS</t>
        </is>
      </c>
      <c r="B12" s="12" t="n"/>
      <c r="C12" s="12" t="n"/>
      <c r="D12" s="12" t="n"/>
      <c r="E12" s="12" t="n"/>
      <c r="F12" s="12" t="n"/>
    </row>
    <row r="13" ht="32" customHeight="1">
      <c r="A13" s="13" t="inlineStr">
        <is>
          <t>⚠ VISA AMERICANA B1/B2: verificar vigencia de la visa de EE.UU. de los 7 pasajeros antes del 05-feb-2027. Sin visa vigente no se puede abordar el vuelo EZE-MIA (AA982).</t>
        </is>
      </c>
    </row>
    <row r="14" ht="32" customHeight="1">
      <c r="A14" s="13" t="inlineStr">
        <is>
          <t>⚠ PASAPORTE: los 7 pasaportes deben tener un minimo de 6 MESES de vigencia posteriores a la fecha de regreso (23-feb-2027), es decir vigentes al menos hasta 23-ago-2027.</t>
        </is>
      </c>
    </row>
    <row r="15" ht="32" customHeight="1">
      <c r="A15" s="13" t="inlineStr">
        <is>
          <t>⚠ SEGURO DE VIAJE: contratacion OBLIGATORIA de asistencia medica internacional para los 7 pasajeros. Ninguno de los paquetes de Disney/Universal actuales la incluye.</t>
        </is>
      </c>
    </row>
    <row r="16" ht="32" customHeight="1">
      <c r="A16" s="13" t="inlineStr">
        <is>
          <t>⚠ VENCIMIENTO DISNEY: saldo de las 3 reservas (Art of Animation) vence el 06-ene-2027 (ver Matriz Financiera / notas por reserva).</t>
        </is>
      </c>
    </row>
    <row r="17" ht="32" customHeight="1">
      <c r="A17" s="13" t="inlineStr">
        <is>
          <t>⚠ VENCIMIENTO UNIVERSAL: saldo de las 2 reservas (Dockside Inn) vence el 29-dic-2026.</t>
        </is>
      </c>
    </row>
    <row r="19" ht="20" customHeight="1">
      <c r="A19" s="4" t="inlineStr">
        <is>
          <t>COMO LEER ESTE LIBRO</t>
        </is>
      </c>
      <c r="B19" s="5" t="n"/>
      <c r="C19" s="5" t="n"/>
      <c r="D19" s="5" t="n"/>
      <c r="E19" s="5" t="n"/>
      <c r="F19" s="5" t="n"/>
    </row>
    <row r="20" ht="26" customHeight="1">
      <c r="A20" s="6" t="inlineStr">
        <is>
          <t>• Pestana 2 (Matriz Financiera): presupuesto PROYECTADO segun lo ya reservado/facturado. Todas las celdas de costo total y costo de Nicolas son FORMULAS activas de Excel. Las celdas resaltadas en amarillo son estimaciones editables.</t>
        </is>
      </c>
    </row>
    <row r="21" ht="26" customHeight="1">
      <c r="A21" s="6" t="inlineStr">
        <is>
          <t>• Pestana 3 (Registro de Gastos): Nico le cuenta los gastos reales a Claude por chat y esta hoja se mantiene actualizada sola. Los totales por nucleo se calculan solos con formulas.</t>
        </is>
      </c>
    </row>
    <row r="22" ht="26" customHeight="1">
      <c r="A22" s="6" t="inlineStr">
        <is>
          <t>• Pestana 4 (Itinerario Flash): calendario dia a dia con horarios reales de vuelo y estado Confirmado / Por organizar de cada actividad.</t>
        </is>
      </c>
    </row>
    <row r="23" ht="26" customHeight="1">
      <c r="A23" s="6" t="inlineStr">
        <is>
          <t>• Pestana 5 (Logistica): tabla de vuelos reales (PNR ETPWSR / booking B4ZHG8) y analisis de alquiler de minivan en Miami.</t>
        </is>
      </c>
    </row>
    <row r="24" ht="26" customHeight="1">
      <c r="A24" s="6" t="inlineStr">
        <is>
          <t>• Pestana 6 (Guia Operativa): tips practicos y la formula de control del presupuesto total del grupo.</t>
        </is>
      </c>
    </row>
  </sheetData>
  <mergeCells count="20">
    <mergeCell ref="A16:F16"/>
    <mergeCell ref="C8:F8"/>
    <mergeCell ref="C7:F7"/>
    <mergeCell ref="A12:F12"/>
    <mergeCell ref="A21:F21"/>
    <mergeCell ref="A2:F2"/>
    <mergeCell ref="A14:F14"/>
    <mergeCell ref="A5:F5"/>
    <mergeCell ref="A23:F23"/>
    <mergeCell ref="A22:F22"/>
    <mergeCell ref="A17:F17"/>
    <mergeCell ref="A4:F4"/>
    <mergeCell ref="A20:F20"/>
    <mergeCell ref="A13:F13"/>
    <mergeCell ref="A19:F19"/>
    <mergeCell ref="C10:F10"/>
    <mergeCell ref="A15:F15"/>
    <mergeCell ref="A24:F24"/>
    <mergeCell ref="C9:F9"/>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showGridLines="0" workbookViewId="0">
      <pane ySplit="4" topLeftCell="A5" activePane="bottomLeft" state="frozen"/>
      <selection pane="bottomLeft" activeCell="A1" sqref="A1"/>
    </sheetView>
  </sheetViews>
  <sheetFormatPr baseColWidth="8" defaultRowHeight="15"/>
  <cols>
    <col width="24" customWidth="1" min="1" max="1"/>
    <col width="40" customWidth="1" min="2" max="2"/>
    <col width="16" customWidth="1" min="3" max="3"/>
    <col width="15" customWidth="1" min="4" max="4"/>
    <col width="15" customWidth="1" min="5" max="5"/>
    <col width="15" customWidth="1" min="6" max="6"/>
    <col width="18" customWidth="1" min="7" max="7"/>
    <col width="2" customWidth="1" min="8" max="8"/>
    <col width="22" customWidth="1" min="9" max="9"/>
    <col width="12" customWidth="1" min="10" max="10"/>
  </cols>
  <sheetData>
    <row r="1" ht="30" customHeight="1">
      <c r="A1" s="1" t="inlineStr">
        <is>
          <t>MATRIZ FINANCIERA</t>
        </is>
      </c>
      <c r="B1" s="2" t="n"/>
      <c r="C1" s="2" t="n"/>
      <c r="D1" s="2" t="n"/>
      <c r="E1" s="2" t="n"/>
      <c r="F1" s="2" t="n"/>
      <c r="G1" s="2" t="n"/>
      <c r="I1" s="14" t="inlineStr">
        <is>
          <t>PARAMETROS</t>
        </is>
      </c>
    </row>
    <row r="2">
      <c r="I2" s="15" t="inlineStr">
        <is>
          <t>N1_PAX</t>
        </is>
      </c>
      <c r="J2" s="16" t="n">
        <v>3</v>
      </c>
    </row>
    <row r="3" ht="20" customHeight="1">
      <c r="A3" s="4" t="inlineStr">
        <is>
          <t>PRESUPUESTO POR CATEGORIA</t>
        </is>
      </c>
      <c r="B3" s="5" t="n"/>
      <c r="C3" s="5" t="n"/>
      <c r="D3" s="5" t="n"/>
      <c r="E3" s="5" t="n"/>
      <c r="F3" s="5" t="n"/>
      <c r="G3" s="5" t="n"/>
      <c r="I3" s="15" t="inlineStr">
        <is>
          <t>N2_PAX</t>
        </is>
      </c>
      <c r="J3" s="16" t="n">
        <v>2</v>
      </c>
    </row>
    <row r="4" ht="30" customHeight="1">
      <c r="A4" s="17" t="inlineStr">
        <is>
          <t>Categoria</t>
        </is>
      </c>
      <c r="B4" s="17" t="inlineStr">
        <is>
          <t>Descripcion</t>
        </is>
      </c>
      <c r="C4" s="17" t="inlineStr">
        <is>
          <t>Costo Total USD</t>
        </is>
      </c>
      <c r="D4" s="17" t="inlineStr">
        <is>
          <t>Nucleo 1 USD</t>
        </is>
      </c>
      <c r="E4" s="17" t="inlineStr">
        <is>
          <t>Nucleo 2 USD</t>
        </is>
      </c>
      <c r="F4" s="17" t="inlineStr">
        <is>
          <t>Nucleo 3 USD</t>
        </is>
      </c>
      <c r="G4" s="17" t="inlineStr">
        <is>
          <t>Costo Nico (50% N3)</t>
        </is>
      </c>
      <c r="I4" s="15" t="inlineStr">
        <is>
          <t>N3_PAX</t>
        </is>
      </c>
      <c r="J4" s="16" t="n">
        <v>2</v>
      </c>
    </row>
    <row r="5" ht="42" customHeight="1">
      <c r="A5" s="18" t="inlineStr">
        <is>
          <t>Disney (Art of Animation)</t>
        </is>
      </c>
      <c r="B5" s="19" t="inlineStr">
        <is>
          <t>3 reservas separadas, 05 al 12-feb-2027 (7 noches), Quick-Service Dining Plan incluido. Res.#43028633 (N1, 5-Day) / Res.#43028415 (N2, 4-Day) / Res.#43028783 (N3, 5-Day).</t>
        </is>
      </c>
      <c r="C5" s="20">
        <f>SUM(D5:F5)</f>
        <v/>
      </c>
      <c r="D5" s="21" t="n">
        <v>5988.35</v>
      </c>
      <c r="E5" s="21" t="n">
        <v>4876.79</v>
      </c>
      <c r="F5" s="21" t="n">
        <v>5008.57</v>
      </c>
      <c r="G5" s="20">
        <f>F5/2</f>
        <v/>
      </c>
      <c r="I5" s="15" t="inlineStr">
        <is>
          <t>TOTAL_PAX</t>
        </is>
      </c>
      <c r="J5" s="16" t="n">
        <v>7</v>
      </c>
    </row>
    <row r="6" ht="42" customHeight="1">
      <c r="A6" s="18" t="inlineStr">
        <is>
          <t>Universal (Dockside Inn)</t>
        </is>
      </c>
      <c r="B6" s="19" t="inlineStr">
        <is>
          <t>12 al 17-feb-2027 (5 noches). Res. X2W124U2 (N1, Standard 2Q) = $3,204.59. Res. 63W124U2 (N2+N3 juntos, Suite 2BR, 4 adultos) = $4,433.94, dividido 50/50 entre N2 y N3.</t>
        </is>
      </c>
      <c r="C6" s="20">
        <f>SUM(D6:F6)</f>
        <v/>
      </c>
      <c r="D6" s="21" t="n">
        <v>3204.59</v>
      </c>
      <c r="E6" s="21" t="n">
        <v>2216.97</v>
      </c>
      <c r="F6" s="21" t="n">
        <v>2216.97</v>
      </c>
      <c r="G6" s="20">
        <f>F6/2</f>
        <v/>
      </c>
      <c r="I6" s="15" t="inlineStr">
        <is>
          <t>N1_ADULTS</t>
        </is>
      </c>
      <c r="J6" s="16" t="n">
        <v>2</v>
      </c>
    </row>
    <row r="7" ht="42" customHeight="1">
      <c r="A7" s="18" t="inlineStr">
        <is>
          <t>Vuelos</t>
        </is>
      </c>
      <c r="B7" s="19" t="inlineStr">
        <is>
          <t>4 tramos AA (PNR ETPWSR / booking B4ZHG8): EZE-MIA AA982, MIA-MCO AA1856 (05-feb), MCO-MIA AA1741 (17-feb), MIA-EZE AA931 (22-feb). Costo NO figura en el e-ticket.</t>
        </is>
      </c>
      <c r="C7" s="22" t="n">
        <v>0</v>
      </c>
      <c r="D7" s="21">
        <f>C7</f>
        <v/>
      </c>
      <c r="E7" s="21" t="n">
        <v>0</v>
      </c>
      <c r="F7" s="21" t="n">
        <v>0</v>
      </c>
      <c r="G7" s="21" t="n">
        <v>0</v>
      </c>
      <c r="I7" s="15" t="inlineStr">
        <is>
          <t>N2_ADULTS</t>
        </is>
      </c>
      <c r="J7" s="16" t="n">
        <v>2</v>
      </c>
    </row>
    <row r="8" ht="42" customHeight="1">
      <c r="A8" s="18" t="inlineStr">
        <is>
          <t>Traslado MCO - Disney</t>
        </is>
      </c>
      <c r="B8" s="19" t="inlineStr">
        <is>
          <t>Llegada 05-feb: 2 UberXL desde MCO hasta Disney's Art of Animation Resort (7 pax + 21 bultos de equipaje).</t>
        </is>
      </c>
      <c r="C8" s="22" t="n">
        <v>90</v>
      </c>
      <c r="D8" s="21">
        <f>$C8*N1_PAX/TOTAL_PAX</f>
        <v/>
      </c>
      <c r="E8" s="21">
        <f>$C8*N2_PAX/TOTAL_PAX</f>
        <v/>
      </c>
      <c r="F8" s="21">
        <f>$C8*N3_PAX/TOTAL_PAX</f>
        <v/>
      </c>
      <c r="G8" s="21">
        <f>F8/2</f>
        <v/>
      </c>
      <c r="I8" s="15" t="inlineStr">
        <is>
          <t>N3_ADULTS</t>
        </is>
      </c>
      <c r="J8" s="16" t="n">
        <v>2</v>
      </c>
    </row>
    <row r="9" ht="42" customHeight="1">
      <c r="A9" s="18" t="inlineStr">
        <is>
          <t>Traslado Universal - MCO</t>
        </is>
      </c>
      <c r="B9" s="19" t="inlineStr">
        <is>
          <t>Salida 17-feb: 2 UberXL desde Universal Dockside hasta MCO para tomar el vuelo AA1741 a MIA.</t>
        </is>
      </c>
      <c r="C9" s="22" t="n">
        <v>90</v>
      </c>
      <c r="D9" s="21">
        <f>$C9*N1_PAX/TOTAL_PAX</f>
        <v/>
      </c>
      <c r="E9" s="21">
        <f>$C9*N2_PAX/TOTAL_PAX</f>
        <v/>
      </c>
      <c r="F9" s="21">
        <f>$C9*N3_PAX/TOTAL_PAX</f>
        <v/>
      </c>
      <c r="G9" s="21">
        <f>F9/2</f>
        <v/>
      </c>
      <c r="I9" s="15" t="inlineStr">
        <is>
          <t>TOTAL_ADULTS</t>
        </is>
      </c>
      <c r="J9" s="16" t="n">
        <v>6</v>
      </c>
    </row>
    <row r="10" ht="42" customHeight="1">
      <c r="A10" s="18" t="inlineStr">
        <is>
          <t>Hospedaje Miami (Hollywood Beach)</t>
        </is>
      </c>
      <c r="B10" s="19" t="inlineStr">
        <is>
          <t>Departamento 3/4 habitaciones, 17 al 22-feb-2027 (5 noches). Rodolfo pago el alquiler completo por adelantado.</t>
        </is>
      </c>
      <c r="C10" s="22" t="n">
        <v>0</v>
      </c>
      <c r="D10" s="21">
        <f>$C10*N1_PAX/TOTAL_PAX</f>
        <v/>
      </c>
      <c r="E10" s="21">
        <f>$C10*N2_PAX/TOTAL_PAX</f>
        <v/>
      </c>
      <c r="F10" s="21">
        <f>$C10*N3_PAX/TOTAL_PAX</f>
        <v/>
      </c>
      <c r="G10" s="21">
        <f>F10/2</f>
        <v/>
      </c>
      <c r="I10" s="15" t="inlineStr">
        <is>
          <t>DIAS_COMIDA</t>
        </is>
      </c>
      <c r="J10" s="23" t="n">
        <v>11</v>
      </c>
    </row>
    <row r="11" ht="42" customHeight="1">
      <c r="A11" s="18" t="inlineStr">
        <is>
          <t>Alquiler Auto Miami</t>
        </is>
      </c>
      <c r="B11" s="19" t="inlineStr">
        <is>
          <t>Minivan 7 pax (Chrysler Pacifica / Kia Carnival) + seguros CDW/LIS + SunPass, 17 al 22-feb-2027.</t>
        </is>
      </c>
      <c r="C11" s="22" t="n">
        <v>0</v>
      </c>
      <c r="D11" s="21">
        <f>$C11*N1_PAX/TOTAL_PAX</f>
        <v/>
      </c>
      <c r="E11" s="21">
        <f>$C11*N2_PAX/TOTAL_PAX</f>
        <v/>
      </c>
      <c r="F11" s="21">
        <f>$C11*N3_PAX/TOTAL_PAX</f>
        <v/>
      </c>
      <c r="G11" s="21">
        <f>F11/2</f>
        <v/>
      </c>
    </row>
    <row r="12" ht="42" customHeight="1">
      <c r="A12" s="18" t="inlineStr">
        <is>
          <t>Comidas</t>
        </is>
      </c>
      <c r="B12" s="19" t="inlineStr">
        <is>
          <t>$60 USD/dia por adulto, durante Universal + Miami (Disney ya incluye Quick-Service Dining). Dias editable en Parametros (J10).</t>
        </is>
      </c>
      <c r="C12" s="21">
        <f>60*TOTAL_ADULTS*DIAS_COMIDA</f>
        <v/>
      </c>
      <c r="D12" s="21">
        <f>$C12*N1_ADULTS/TOTAL_ADULTS</f>
        <v/>
      </c>
      <c r="E12" s="21">
        <f>$C12*N2_ADULTS/TOTAL_ADULTS</f>
        <v/>
      </c>
      <c r="F12" s="21">
        <f>$C12*N3_ADULTS/TOTAL_ADULTS</f>
        <v/>
      </c>
      <c r="G12" s="21">
        <f>F12/2</f>
        <v/>
      </c>
    </row>
    <row r="13" ht="22" customHeight="1">
      <c r="A13" s="24" t="inlineStr">
        <is>
          <t>TOTALES</t>
        </is>
      </c>
      <c r="B13" s="25" t="n"/>
      <c r="C13" s="26">
        <f>SUM(C5:C12)</f>
        <v/>
      </c>
      <c r="D13" s="26">
        <f>SUM(D5:D12)</f>
        <v/>
      </c>
      <c r="E13" s="26">
        <f>SUM(E5:E12)</f>
        <v/>
      </c>
      <c r="F13" s="26">
        <f>SUM(F5:F12)</f>
        <v/>
      </c>
      <c r="G13" s="26">
        <f>SUM(G5:G12)</f>
        <v/>
      </c>
    </row>
    <row r="15">
      <c r="A15" s="27" t="inlineStr">
        <is>
          <t>Leyenda:</t>
        </is>
      </c>
    </row>
    <row r="16">
      <c r="A16" s="15" t="inlineStr">
        <is>
          <t>Celda amarilla = estimacion/dato editable manualmente.</t>
        </is>
      </c>
    </row>
    <row r="17">
      <c r="A17" s="15" t="inlineStr">
        <is>
          <t>Costo Nico = Nucleo 3 USD / 2 (formula activa, Nicolas paga exactamente la mitad del nucleo).</t>
        </is>
      </c>
    </row>
  </sheetData>
  <mergeCells count="3">
    <mergeCell ref="I1:J1"/>
    <mergeCell ref="A3:G3"/>
    <mergeCell ref="A1:G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63"/>
  <sheetViews>
    <sheetView showGridLines="0" workbookViewId="0">
      <pane ySplit="4" topLeftCell="A5" activePane="bottomLeft" state="frozen"/>
      <selection pane="bottomLeft" activeCell="A1" sqref="A1"/>
    </sheetView>
  </sheetViews>
  <sheetFormatPr baseColWidth="8" defaultRowHeight="15"/>
  <cols>
    <col width="13" customWidth="1" min="1" max="1"/>
    <col width="20" customWidth="1" min="2" max="2"/>
    <col width="34" customWidth="1" min="3" max="3"/>
    <col width="15" customWidth="1" min="4" max="4"/>
    <col width="16" customWidth="1" min="5" max="5"/>
    <col width="14" customWidth="1" min="6" max="6"/>
    <col width="30" customWidth="1" min="7" max="7"/>
  </cols>
  <sheetData>
    <row r="1" ht="30" customHeight="1">
      <c r="A1" s="1" t="inlineStr">
        <is>
          <t>REGISTRO DE GASTOS</t>
        </is>
      </c>
      <c r="B1" s="2" t="n"/>
      <c r="C1" s="2" t="n"/>
      <c r="D1" s="2" t="n"/>
      <c r="E1" s="2" t="n"/>
      <c r="F1" s="2" t="n"/>
      <c r="G1" s="2" t="n"/>
    </row>
    <row r="2" ht="34" customHeight="1">
      <c r="A2" s="28" t="inlineStr">
        <is>
          <t>Registro de gastos reales del viaje (Uber, comidas, compras, propinas, etc.), independiente de la Matriz Financiera (que refleja lo ya reservado/facturado). Nico le cuenta cada gasto a Claude por chat y esta hoja se actualiza sola - no hace falta cargar nada a mano aca. Los totales de abajo se recalculan solos con formulas.</t>
        </is>
      </c>
    </row>
    <row r="4" ht="18" customHeight="1">
      <c r="A4" s="29" t="inlineStr">
        <is>
          <t>Fecha</t>
        </is>
      </c>
      <c r="B4" s="29" t="inlineStr">
        <is>
          <t>Categoria</t>
        </is>
      </c>
      <c r="C4" s="29" t="inlineStr">
        <is>
          <t>Descripcion</t>
        </is>
      </c>
      <c r="D4" s="29" t="inlineStr">
        <is>
          <t>Nucleo</t>
        </is>
      </c>
      <c r="E4" s="29" t="inlineStr">
        <is>
          <t>Pagado por</t>
        </is>
      </c>
      <c r="F4" s="29" t="inlineStr">
        <is>
          <t>Monto USD</t>
        </is>
      </c>
      <c r="G4" s="29" t="inlineStr">
        <is>
          <t>Notas</t>
        </is>
      </c>
    </row>
    <row r="5" ht="16" customHeight="1">
      <c r="A5" s="30" t="inlineStr">
        <is>
          <t>A confirmar</t>
        </is>
      </c>
      <c r="B5" s="31" t="inlineStr"/>
      <c r="C5" s="30" t="inlineStr">
        <is>
          <t>Sena de reserva (confirmar si es Universal 63W124U2 o Disney #43028783 - ambas por $200)</t>
        </is>
      </c>
      <c r="D5" s="31" t="inlineStr"/>
      <c r="E5" s="30" t="inlineStr">
        <is>
          <t>Nicolas - Tarjeta credito Santander Rio</t>
        </is>
      </c>
      <c r="F5" s="32" t="n">
        <v>200</v>
      </c>
      <c r="G5" s="30" t="inlineStr">
        <is>
          <t>Avisado por Nico por chat; falta confirmar fecha exacta y a que reserva corresponde.</t>
        </is>
      </c>
    </row>
    <row r="6" ht="16" customHeight="1">
      <c r="A6" s="19" t="inlineStr">
        <is>
          <t>27-jul-2026</t>
        </is>
      </c>
      <c r="B6" s="33" t="inlineStr">
        <is>
          <t>Hospedaje Miami</t>
        </is>
      </c>
      <c r="C6" s="19" t="inlineStr">
        <is>
          <t>Pago a Rodolfo por el alquiler del departamento en Miami (Hollywood Beach) - Rodolfo pago el total del alquiler</t>
        </is>
      </c>
      <c r="D6" s="33" t="inlineStr">
        <is>
          <t>Nucleo 3</t>
        </is>
      </c>
      <c r="E6" s="19" t="inlineStr">
        <is>
          <t>Nicolas</t>
        </is>
      </c>
      <c r="F6" s="34" t="n">
        <v>1000</v>
      </c>
      <c r="G6" s="19" t="inlineStr">
        <is>
          <t>Falta el costo TOTAL del alquiler (avisado por Nico) para calcular la parte proporcional exacta de cada nucleo en la Matriz Financiera.</t>
        </is>
      </c>
    </row>
    <row r="7" ht="16" customHeight="1">
      <c r="A7" s="31" t="n"/>
      <c r="B7" s="31" t="n"/>
      <c r="C7" s="31" t="n"/>
      <c r="D7" s="31" t="n"/>
      <c r="E7" s="31" t="n"/>
      <c r="F7" s="32" t="n"/>
      <c r="G7" s="31" t="n"/>
    </row>
    <row r="8" ht="16" customHeight="1">
      <c r="A8" s="33" t="n"/>
      <c r="B8" s="33" t="n"/>
      <c r="C8" s="33" t="n"/>
      <c r="D8" s="33" t="n"/>
      <c r="E8" s="33" t="n"/>
      <c r="F8" s="34" t="n"/>
      <c r="G8" s="33" t="n"/>
    </row>
    <row r="9" ht="16" customHeight="1">
      <c r="A9" s="31" t="n"/>
      <c r="B9" s="31" t="n"/>
      <c r="C9" s="31" t="n"/>
      <c r="D9" s="31" t="n"/>
      <c r="E9" s="31" t="n"/>
      <c r="F9" s="32" t="n"/>
      <c r="G9" s="31" t="n"/>
    </row>
    <row r="10" ht="16" customHeight="1">
      <c r="A10" s="33" t="n"/>
      <c r="B10" s="33" t="n"/>
      <c r="C10" s="33" t="n"/>
      <c r="D10" s="33" t="n"/>
      <c r="E10" s="33" t="n"/>
      <c r="F10" s="34" t="n"/>
      <c r="G10" s="33" t="n"/>
    </row>
    <row r="11" ht="16" customHeight="1">
      <c r="A11" s="31" t="n"/>
      <c r="B11" s="31" t="n"/>
      <c r="C11" s="31" t="n"/>
      <c r="D11" s="31" t="n"/>
      <c r="E11" s="31" t="n"/>
      <c r="F11" s="32" t="n"/>
      <c r="G11" s="31" t="n"/>
    </row>
    <row r="12" ht="16" customHeight="1">
      <c r="A12" s="33" t="n"/>
      <c r="B12" s="33" t="n"/>
      <c r="C12" s="33" t="n"/>
      <c r="D12" s="33" t="n"/>
      <c r="E12" s="33" t="n"/>
      <c r="F12" s="34" t="n"/>
      <c r="G12" s="33" t="n"/>
    </row>
    <row r="13" ht="16" customHeight="1">
      <c r="A13" s="31" t="n"/>
      <c r="B13" s="31" t="n"/>
      <c r="C13" s="31" t="n"/>
      <c r="D13" s="31" t="n"/>
      <c r="E13" s="31" t="n"/>
      <c r="F13" s="32" t="n"/>
      <c r="G13" s="31" t="n"/>
    </row>
    <row r="14" ht="16" customHeight="1">
      <c r="A14" s="33" t="n"/>
      <c r="B14" s="33" t="n"/>
      <c r="C14" s="33" t="n"/>
      <c r="D14" s="33" t="n"/>
      <c r="E14" s="33" t="n"/>
      <c r="F14" s="34" t="n"/>
      <c r="G14" s="33" t="n"/>
    </row>
    <row r="15" ht="16" customHeight="1">
      <c r="A15" s="31" t="n"/>
      <c r="B15" s="31" t="n"/>
      <c r="C15" s="31" t="n"/>
      <c r="D15" s="31" t="n"/>
      <c r="E15" s="31" t="n"/>
      <c r="F15" s="32" t="n"/>
      <c r="G15" s="31" t="n"/>
    </row>
    <row r="16" ht="16" customHeight="1">
      <c r="A16" s="33" t="n"/>
      <c r="B16" s="33" t="n"/>
      <c r="C16" s="33" t="n"/>
      <c r="D16" s="33" t="n"/>
      <c r="E16" s="33" t="n"/>
      <c r="F16" s="34" t="n"/>
      <c r="G16" s="33" t="n"/>
    </row>
    <row r="17" ht="16" customHeight="1">
      <c r="A17" s="31" t="n"/>
      <c r="B17" s="31" t="n"/>
      <c r="C17" s="31" t="n"/>
      <c r="D17" s="31" t="n"/>
      <c r="E17" s="31" t="n"/>
      <c r="F17" s="32" t="n"/>
      <c r="G17" s="31" t="n"/>
    </row>
    <row r="18" ht="16" customHeight="1">
      <c r="A18" s="33" t="n"/>
      <c r="B18" s="33" t="n"/>
      <c r="C18" s="33" t="n"/>
      <c r="D18" s="33" t="n"/>
      <c r="E18" s="33" t="n"/>
      <c r="F18" s="34" t="n"/>
      <c r="G18" s="33" t="n"/>
    </row>
    <row r="19" ht="16" customHeight="1">
      <c r="A19" s="31" t="n"/>
      <c r="B19" s="31" t="n"/>
      <c r="C19" s="31" t="n"/>
      <c r="D19" s="31" t="n"/>
      <c r="E19" s="31" t="n"/>
      <c r="F19" s="32" t="n"/>
      <c r="G19" s="31" t="n"/>
    </row>
    <row r="20" ht="16" customHeight="1">
      <c r="A20" s="33" t="n"/>
      <c r="B20" s="33" t="n"/>
      <c r="C20" s="33" t="n"/>
      <c r="D20" s="33" t="n"/>
      <c r="E20" s="33" t="n"/>
      <c r="F20" s="34" t="n"/>
      <c r="G20" s="33" t="n"/>
    </row>
    <row r="21" ht="16" customHeight="1">
      <c r="A21" s="31" t="n"/>
      <c r="B21" s="31" t="n"/>
      <c r="C21" s="31" t="n"/>
      <c r="D21" s="31" t="n"/>
      <c r="E21" s="31" t="n"/>
      <c r="F21" s="32" t="n"/>
      <c r="G21" s="31" t="n"/>
    </row>
    <row r="22" ht="16" customHeight="1">
      <c r="A22" s="33" t="n"/>
      <c r="B22" s="33" t="n"/>
      <c r="C22" s="33" t="n"/>
      <c r="D22" s="33" t="n"/>
      <c r="E22" s="33" t="n"/>
      <c r="F22" s="34" t="n"/>
      <c r="G22" s="33" t="n"/>
    </row>
    <row r="23" ht="16" customHeight="1">
      <c r="A23" s="31" t="n"/>
      <c r="B23" s="31" t="n"/>
      <c r="C23" s="31" t="n"/>
      <c r="D23" s="31" t="n"/>
      <c r="E23" s="31" t="n"/>
      <c r="F23" s="32" t="n"/>
      <c r="G23" s="31" t="n"/>
    </row>
    <row r="24" ht="16" customHeight="1">
      <c r="A24" s="33" t="n"/>
      <c r="B24" s="33" t="n"/>
      <c r="C24" s="33" t="n"/>
      <c r="D24" s="33" t="n"/>
      <c r="E24" s="33" t="n"/>
      <c r="F24" s="34" t="n"/>
      <c r="G24" s="33" t="n"/>
    </row>
    <row r="25" ht="16" customHeight="1">
      <c r="A25" s="31" t="n"/>
      <c r="B25" s="31" t="n"/>
      <c r="C25" s="31" t="n"/>
      <c r="D25" s="31" t="n"/>
      <c r="E25" s="31" t="n"/>
      <c r="F25" s="32" t="n"/>
      <c r="G25" s="31" t="n"/>
    </row>
    <row r="26" ht="16" customHeight="1">
      <c r="A26" s="33" t="n"/>
      <c r="B26" s="33" t="n"/>
      <c r="C26" s="33" t="n"/>
      <c r="D26" s="33" t="n"/>
      <c r="E26" s="33" t="n"/>
      <c r="F26" s="34" t="n"/>
      <c r="G26" s="33" t="n"/>
    </row>
    <row r="27" ht="16" customHeight="1">
      <c r="A27" s="31" t="n"/>
      <c r="B27" s="31" t="n"/>
      <c r="C27" s="31" t="n"/>
      <c r="D27" s="31" t="n"/>
      <c r="E27" s="31" t="n"/>
      <c r="F27" s="32" t="n"/>
      <c r="G27" s="31" t="n"/>
    </row>
    <row r="28" ht="16" customHeight="1">
      <c r="A28" s="33" t="n"/>
      <c r="B28" s="33" t="n"/>
      <c r="C28" s="33" t="n"/>
      <c r="D28" s="33" t="n"/>
      <c r="E28" s="33" t="n"/>
      <c r="F28" s="34" t="n"/>
      <c r="G28" s="33" t="n"/>
    </row>
    <row r="29" ht="16" customHeight="1">
      <c r="A29" s="31" t="n"/>
      <c r="B29" s="31" t="n"/>
      <c r="C29" s="31" t="n"/>
      <c r="D29" s="31" t="n"/>
      <c r="E29" s="31" t="n"/>
      <c r="F29" s="32" t="n"/>
      <c r="G29" s="31" t="n"/>
    </row>
    <row r="30" ht="16" customHeight="1">
      <c r="A30" s="33" t="n"/>
      <c r="B30" s="33" t="n"/>
      <c r="C30" s="33" t="n"/>
      <c r="D30" s="33" t="n"/>
      <c r="E30" s="33" t="n"/>
      <c r="F30" s="34" t="n"/>
      <c r="G30" s="33" t="n"/>
    </row>
    <row r="31" ht="16" customHeight="1">
      <c r="A31" s="31" t="n"/>
      <c r="B31" s="31" t="n"/>
      <c r="C31" s="31" t="n"/>
      <c r="D31" s="31" t="n"/>
      <c r="E31" s="31" t="n"/>
      <c r="F31" s="32" t="n"/>
      <c r="G31" s="31" t="n"/>
    </row>
    <row r="32" ht="16" customHeight="1">
      <c r="A32" s="33" t="n"/>
      <c r="B32" s="33" t="n"/>
      <c r="C32" s="33" t="n"/>
      <c r="D32" s="33" t="n"/>
      <c r="E32" s="33" t="n"/>
      <c r="F32" s="34" t="n"/>
      <c r="G32" s="33" t="n"/>
    </row>
    <row r="33" ht="16" customHeight="1">
      <c r="A33" s="31" t="n"/>
      <c r="B33" s="31" t="n"/>
      <c r="C33" s="31" t="n"/>
      <c r="D33" s="31" t="n"/>
      <c r="E33" s="31" t="n"/>
      <c r="F33" s="32" t="n"/>
      <c r="G33" s="31" t="n"/>
    </row>
    <row r="34" ht="16" customHeight="1">
      <c r="A34" s="33" t="n"/>
      <c r="B34" s="33" t="n"/>
      <c r="C34" s="33" t="n"/>
      <c r="D34" s="33" t="n"/>
      <c r="E34" s="33" t="n"/>
      <c r="F34" s="34" t="n"/>
      <c r="G34" s="33" t="n"/>
    </row>
    <row r="35" ht="16" customHeight="1">
      <c r="A35" s="31" t="n"/>
      <c r="B35" s="31" t="n"/>
      <c r="C35" s="31" t="n"/>
      <c r="D35" s="31" t="n"/>
      <c r="E35" s="31" t="n"/>
      <c r="F35" s="32" t="n"/>
      <c r="G35" s="31" t="n"/>
    </row>
    <row r="36" ht="16" customHeight="1">
      <c r="A36" s="33" t="n"/>
      <c r="B36" s="33" t="n"/>
      <c r="C36" s="33" t="n"/>
      <c r="D36" s="33" t="n"/>
      <c r="E36" s="33" t="n"/>
      <c r="F36" s="34" t="n"/>
      <c r="G36" s="33" t="n"/>
    </row>
    <row r="37" ht="16" customHeight="1">
      <c r="A37" s="31" t="n"/>
      <c r="B37" s="31" t="n"/>
      <c r="C37" s="31" t="n"/>
      <c r="D37" s="31" t="n"/>
      <c r="E37" s="31" t="n"/>
      <c r="F37" s="32" t="n"/>
      <c r="G37" s="31" t="n"/>
    </row>
    <row r="38" ht="16" customHeight="1">
      <c r="A38" s="33" t="n"/>
      <c r="B38" s="33" t="n"/>
      <c r="C38" s="33" t="n"/>
      <c r="D38" s="33" t="n"/>
      <c r="E38" s="33" t="n"/>
      <c r="F38" s="34" t="n"/>
      <c r="G38" s="33" t="n"/>
    </row>
    <row r="39" ht="16" customHeight="1">
      <c r="A39" s="31" t="n"/>
      <c r="B39" s="31" t="n"/>
      <c r="C39" s="31" t="n"/>
      <c r="D39" s="31" t="n"/>
      <c r="E39" s="31" t="n"/>
      <c r="F39" s="32" t="n"/>
      <c r="G39" s="31" t="n"/>
    </row>
    <row r="40" ht="16" customHeight="1">
      <c r="A40" s="33" t="n"/>
      <c r="B40" s="33" t="n"/>
      <c r="C40" s="33" t="n"/>
      <c r="D40" s="33" t="n"/>
      <c r="E40" s="33" t="n"/>
      <c r="F40" s="34" t="n"/>
      <c r="G40" s="33" t="n"/>
    </row>
    <row r="41" ht="16" customHeight="1">
      <c r="A41" s="31" t="n"/>
      <c r="B41" s="31" t="n"/>
      <c r="C41" s="31" t="n"/>
      <c r="D41" s="31" t="n"/>
      <c r="E41" s="31" t="n"/>
      <c r="F41" s="32" t="n"/>
      <c r="G41" s="31" t="n"/>
    </row>
    <row r="42" ht="16" customHeight="1">
      <c r="A42" s="33" t="n"/>
      <c r="B42" s="33" t="n"/>
      <c r="C42" s="33" t="n"/>
      <c r="D42" s="33" t="n"/>
      <c r="E42" s="33" t="n"/>
      <c r="F42" s="34" t="n"/>
      <c r="G42" s="33" t="n"/>
    </row>
    <row r="43" ht="16" customHeight="1">
      <c r="A43" s="31" t="n"/>
      <c r="B43" s="31" t="n"/>
      <c r="C43" s="31" t="n"/>
      <c r="D43" s="31" t="n"/>
      <c r="E43" s="31" t="n"/>
      <c r="F43" s="32" t="n"/>
      <c r="G43" s="31" t="n"/>
    </row>
    <row r="44" ht="16" customHeight="1">
      <c r="A44" s="33" t="n"/>
      <c r="B44" s="33" t="n"/>
      <c r="C44" s="33" t="n"/>
      <c r="D44" s="33" t="n"/>
      <c r="E44" s="33" t="n"/>
      <c r="F44" s="34" t="n"/>
      <c r="G44" s="33" t="n"/>
    </row>
    <row r="45" ht="16" customHeight="1">
      <c r="A45" s="31" t="n"/>
      <c r="B45" s="31" t="n"/>
      <c r="C45" s="31" t="n"/>
      <c r="D45" s="31" t="n"/>
      <c r="E45" s="31" t="n"/>
      <c r="F45" s="32" t="n"/>
      <c r="G45" s="31" t="n"/>
    </row>
    <row r="46" ht="16" customHeight="1">
      <c r="A46" s="33" t="n"/>
      <c r="B46" s="33" t="n"/>
      <c r="C46" s="33" t="n"/>
      <c r="D46" s="33" t="n"/>
      <c r="E46" s="33" t="n"/>
      <c r="F46" s="34" t="n"/>
      <c r="G46" s="33" t="n"/>
    </row>
    <row r="48" ht="20" customHeight="1">
      <c r="A48" s="4" t="inlineStr">
        <is>
          <t>RESUMEN AUTOMATICO (se calcula solo a medida que cargas filas arriba)</t>
        </is>
      </c>
      <c r="B48" s="5" t="n"/>
      <c r="C48" s="5" t="n"/>
      <c r="D48" s="5" t="n"/>
      <c r="E48" s="5" t="n"/>
      <c r="F48" s="5" t="n"/>
      <c r="G48" s="5" t="n"/>
    </row>
    <row r="49" ht="16" customHeight="1">
      <c r="A49" s="35" t="inlineStr">
        <is>
          <t>Total Nucleo 1</t>
        </is>
      </c>
      <c r="B49" s="20">
        <f>SUMIF($D$5:$D$46,"Nucleo 1",$F$5:$F$46)</f>
        <v/>
      </c>
      <c r="C49" s="36" t="n"/>
      <c r="D49" s="36" t="n"/>
      <c r="E49" s="36" t="n"/>
      <c r="F49" s="36" t="n"/>
      <c r="G49" s="36" t="n"/>
    </row>
    <row r="50" ht="16" customHeight="1">
      <c r="A50" s="35" t="inlineStr">
        <is>
          <t>Total Nucleo 2</t>
        </is>
      </c>
      <c r="B50" s="20">
        <f>SUMIF($D$5:$D$46,"Nucleo 2",$F$5:$F$46)</f>
        <v/>
      </c>
      <c r="C50" s="36" t="n"/>
      <c r="D50" s="36" t="n"/>
      <c r="E50" s="36" t="n"/>
      <c r="F50" s="36" t="n"/>
      <c r="G50" s="36" t="n"/>
    </row>
    <row r="51" ht="16" customHeight="1">
      <c r="A51" s="35" t="inlineStr">
        <is>
          <t>Total Nucleo 3</t>
        </is>
      </c>
      <c r="B51" s="20">
        <f>SUMIF($D$5:$D$46,"Nucleo 3",$F$5:$F$46)</f>
        <v/>
      </c>
      <c r="C51" s="36" t="n"/>
      <c r="D51" s="36" t="n"/>
      <c r="E51" s="36" t="n"/>
      <c r="F51" s="36" t="n"/>
      <c r="G51" s="36" t="n"/>
    </row>
    <row r="52" ht="16" customHeight="1">
      <c r="A52" s="35" t="inlineStr">
        <is>
          <t>Total Compartido/Todos</t>
        </is>
      </c>
      <c r="B52" s="20">
        <f>SUMIF($D$5:$D$46,"Compartido/Todos",$F$5:$F$46)</f>
        <v/>
      </c>
      <c r="C52" s="36" t="n"/>
      <c r="D52" s="36" t="n"/>
      <c r="E52" s="36" t="n"/>
      <c r="F52" s="36" t="n"/>
      <c r="G52" s="36" t="n"/>
    </row>
    <row r="53" ht="16" customHeight="1">
      <c r="A53" s="35" t="inlineStr">
        <is>
          <t>Costo Nico (50% Nucleo 3)</t>
        </is>
      </c>
      <c r="B53" s="20">
        <f>B51/2</f>
        <v/>
      </c>
      <c r="C53" s="36" t="n"/>
      <c r="D53" s="36" t="n"/>
      <c r="E53" s="36" t="n"/>
      <c r="F53" s="36" t="n"/>
      <c r="G53" s="36" t="n"/>
    </row>
    <row r="54" ht="20" customHeight="1">
      <c r="A54" s="24" t="inlineStr">
        <is>
          <t>TOTAL REGISTRADO</t>
        </is>
      </c>
      <c r="B54" s="26">
        <f>SUM($F$5:$F$46)</f>
        <v/>
      </c>
      <c r="C54" s="25" t="n"/>
      <c r="D54" s="25" t="n"/>
      <c r="E54" s="25" t="n"/>
      <c r="F54" s="25" t="n"/>
      <c r="G54" s="25" t="n"/>
    </row>
    <row r="57" ht="20" customHeight="1">
      <c r="A57" s="4" t="inlineStr">
        <is>
          <t>DEUDAS ENTRE PERSONAS (adelantos de un integrante a nombre de otros)</t>
        </is>
      </c>
      <c r="B57" s="5" t="n"/>
      <c r="C57" s="5" t="n"/>
      <c r="D57" s="5" t="n"/>
      <c r="E57" s="5" t="n"/>
      <c r="F57" s="5" t="n"/>
      <c r="G57" s="5" t="n"/>
    </row>
    <row r="58" ht="18" customHeight="1">
      <c r="A58" s="29" t="inlineStr">
        <is>
          <t>Concepto</t>
        </is>
      </c>
      <c r="B58" s="29" t="inlineStr">
        <is>
          <t>Adelanto pagado por</t>
        </is>
      </c>
      <c r="C58" s="29" t="inlineStr">
        <is>
          <t>A cargo de</t>
        </is>
      </c>
      <c r="D58" s="29" t="inlineStr">
        <is>
          <t>Monto USD</t>
        </is>
      </c>
      <c r="E58" s="29" t="inlineStr">
        <is>
          <t>Estado</t>
        </is>
      </c>
      <c r="F58" s="37" t="n"/>
      <c r="G58" s="38" t="n"/>
    </row>
    <row r="59" ht="40" customHeight="1">
      <c r="A59" s="19" t="inlineStr">
        <is>
          <t>Hospedaje Miami (departamento Hollywood Beach, 17 al 22-feb)</t>
        </is>
      </c>
      <c r="B59" s="19" t="inlineStr">
        <is>
          <t>Rodolfo Agullo (pago el total del alquiler por adelantado)</t>
        </is>
      </c>
      <c r="C59" s="19" t="inlineStr">
        <is>
          <t>Florencia y German (Nucleo 2) + Natalia y Nicolas (Nucleo 3), cada uno su parte proporcional</t>
        </is>
      </c>
      <c r="D59" s="20">
        <f>'Matriz Financiera'!E10+'Matriz Financiera'!F10</f>
        <v/>
      </c>
      <c r="E59" s="39" t="inlineStr">
        <is>
          <t>Pendiente: falta cargar el costo TOTAL del alquiler en la Matriz Financiera (fila Hospedaje Miami) para que este monto se calcule solo. Nico ya le adelanto $1000 a Rodolfo a cuenta de esto (ver arriba).</t>
        </is>
      </c>
      <c r="F59" s="36" t="n"/>
      <c r="G59" s="36" t="n"/>
    </row>
    <row r="60" ht="40" customHeight="1">
      <c r="A60" s="19" t="inlineStr">
        <is>
          <t>Universal Dockside (reserva conjunta 63W124U2: Florencia, German, Natalia, Nicolas)</t>
        </is>
      </c>
      <c r="B60" s="19" t="inlineStr">
        <is>
          <t>German Agullo (pago la reserva completa)</t>
        </is>
      </c>
      <c r="C60" s="19" t="inlineStr">
        <is>
          <t>Nicolas y Natalia (Nucleo 3) le deben a German la mitad de esta reserva + lo que falte pagar</t>
        </is>
      </c>
      <c r="D60" s="20">
        <f>'Matriz Financiera'!F6</f>
        <v/>
      </c>
      <c r="E60" s="39" t="inlineStr">
        <is>
          <t>Pendiente de liquidar con German</t>
        </is>
      </c>
      <c r="F60" s="36" t="n"/>
      <c r="G60" s="36" t="n"/>
    </row>
    <row r="61" ht="40" customHeight="1">
      <c r="A61" s="19" t="inlineStr">
        <is>
          <t>Disney Art of Animation (reserva #43028783: Natalia, Nicolas)</t>
        </is>
      </c>
      <c r="B61" s="19" t="inlineStr">
        <is>
          <t>Nicolas y Natalia (pagan directo, sin intermediario)</t>
        </is>
      </c>
      <c r="C61" s="19" t="inlineStr">
        <is>
          <t>N/A - no genera deuda entre personas</t>
        </is>
      </c>
      <c r="D61" s="20">
        <f>'Matriz Financiera'!F5</f>
        <v/>
      </c>
      <c r="E61" s="39" t="inlineStr">
        <is>
          <t>Gestionado directamente por Nucleo 3</t>
        </is>
      </c>
      <c r="F61" s="36" t="n"/>
      <c r="G61" s="36" t="n"/>
    </row>
    <row r="63" ht="30" customHeight="1">
      <c r="A63" s="40" t="inlineStr">
        <is>
          <t>El monto de la fila Universal esta enlazado por formula a la Matriz Financiera (Nucleo 3 = mitad de la reserva conjunta 63W124U2). Incluye la sena ya pagada y el saldo que falte liquidar con German a medida que se vaya pagando la reserva completa.</t>
        </is>
      </c>
    </row>
  </sheetData>
  <mergeCells count="9">
    <mergeCell ref="A1:G1"/>
    <mergeCell ref="E60:G60"/>
    <mergeCell ref="A63:G63"/>
    <mergeCell ref="E61:G61"/>
    <mergeCell ref="A48:G48"/>
    <mergeCell ref="E58:G58"/>
    <mergeCell ref="A2:G2"/>
    <mergeCell ref="A57:G57"/>
    <mergeCell ref="E59:G59"/>
  </mergeCells>
  <dataValidations count="2">
    <dataValidation sqref="B5:B46" showDropDown="0" showInputMessage="0" showErrorMessage="0" allowBlank="1" type="list">
      <formula1>"Vuelos,Disney,Universal,Hospedaje Miami,Auto/Transporte,Comida,Compras,Seguro,Propinas,Otro"</formula1>
    </dataValidation>
    <dataValidation sqref="D5:D46" showDropDown="0" showInputMessage="0" showErrorMessage="0" allowBlank="1" type="list">
      <formula1>"Nucleo 1,Nucleo 2,Nucleo 3,Compartido/Todos"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showGridLines="0" workbookViewId="0">
      <pane ySplit="3" topLeftCell="A4" activePane="bottomLeft" state="frozen"/>
      <selection pane="bottomLeft" activeCell="A1" sqref="A1"/>
    </sheetView>
  </sheetViews>
  <sheetFormatPr baseColWidth="8" defaultRowHeight="15"/>
  <cols>
    <col width="14" customWidth="1" min="1" max="1"/>
    <col width="12" customWidth="1" min="2" max="2"/>
    <col width="15" customWidth="1" min="3" max="3"/>
    <col width="52" customWidth="1" min="4" max="4"/>
    <col width="15" customWidth="1" min="5" max="5"/>
    <col width="48" customWidth="1" min="6" max="6"/>
  </cols>
  <sheetData>
    <row r="1" ht="30" customHeight="1">
      <c r="A1" s="1" t="inlineStr">
        <is>
          <t>ITINERARIO FLASH - CALENDARIO FEBRERO 2027</t>
        </is>
      </c>
      <c r="B1" s="2" t="n"/>
      <c r="C1" s="2" t="n"/>
      <c r="D1" s="2" t="n"/>
      <c r="E1" s="2" t="n"/>
      <c r="F1" s="2" t="n"/>
    </row>
    <row r="3" ht="18" customHeight="1">
      <c r="A3" s="29" t="inlineStr">
        <is>
          <t>Fecha</t>
        </is>
      </c>
      <c r="B3" s="29" t="inlineStr">
        <is>
          <t>Hora</t>
        </is>
      </c>
      <c r="C3" s="29" t="inlineStr">
        <is>
          <t>Momento del dia</t>
        </is>
      </c>
      <c r="D3" s="29" t="inlineStr">
        <is>
          <t>Actividad / Lugar</t>
        </is>
      </c>
      <c r="E3" s="29" t="inlineStr">
        <is>
          <t>Estado</t>
        </is>
      </c>
      <c r="F3" s="29" t="inlineStr">
        <is>
          <t>Tip pragmatico</t>
        </is>
      </c>
    </row>
    <row r="4" ht="34" customHeight="1">
      <c r="A4" s="18" t="inlineStr">
        <is>
          <t>05-feb (vie)</t>
        </is>
      </c>
      <c r="B4" s="41" t="inlineStr">
        <is>
          <t>10:10</t>
        </is>
      </c>
      <c r="C4" s="41" t="inlineStr">
        <is>
          <t>Manana</t>
        </is>
      </c>
      <c r="D4" s="19" t="inlineStr">
        <is>
          <t>Vuelo AA982 EZE -&gt; MIA (10:10 a 17:20)</t>
        </is>
      </c>
      <c r="E4" s="42" t="inlineStr">
        <is>
          <t>Confirmado</t>
        </is>
      </c>
      <c r="F4" s="19" t="inlineStr">
        <is>
          <t>-&gt; Check-in online 24h antes; llegar a EZE con 3h de anticipacion por ser vuelo internacional B1/B2.</t>
        </is>
      </c>
    </row>
    <row r="5" ht="34" customHeight="1">
      <c r="A5" s="18" t="inlineStr">
        <is>
          <t>05-feb (vie)</t>
        </is>
      </c>
      <c r="B5" s="41" t="inlineStr">
        <is>
          <t>18:56</t>
        </is>
      </c>
      <c r="C5" s="41" t="inlineStr">
        <is>
          <t>Tarde/Noche</t>
        </is>
      </c>
      <c r="D5" s="19" t="inlineStr">
        <is>
          <t>Conexion AA1856 MIA -&gt; MCO (18:56 a 20:15)</t>
        </is>
      </c>
      <c r="E5" s="42" t="inlineStr">
        <is>
          <t>Confirmado</t>
        </is>
      </c>
      <c r="F5" s="19" t="inlineStr">
        <is>
          <t>-&gt; Conexion corta (1h36) dentro del mismo aeropuerto MIA; no hace falta retirar equipaje si esta chequeado hasta MCO.</t>
        </is>
      </c>
    </row>
    <row r="6" ht="34" customHeight="1">
      <c r="A6" s="18" t="inlineStr">
        <is>
          <t>05-feb (vie)</t>
        </is>
      </c>
      <c r="B6" s="41" t="inlineStr">
        <is>
          <t>20:15</t>
        </is>
      </c>
      <c r="C6" s="41" t="inlineStr">
        <is>
          <t>Noche</t>
        </is>
      </c>
      <c r="D6" s="19" t="inlineStr">
        <is>
          <t>Llegada a Orlando -&gt; Check-in Disney's Art of Animation</t>
        </is>
      </c>
      <c r="E6" s="42" t="inlineStr">
        <is>
          <t>Confirmado</t>
        </is>
      </c>
      <c r="F6" s="19" t="inlineStr">
        <is>
          <t>-&gt; Traslado en 2 UberXL (7 pax + 21 bultos); pedir con anticipacion por horario nocturno.</t>
        </is>
      </c>
    </row>
    <row r="7" ht="34" customHeight="1">
      <c r="A7" s="18" t="inlineStr">
        <is>
          <t>06-feb (sab)</t>
        </is>
      </c>
      <c r="B7" s="41" t="inlineStr">
        <is>
          <t>-</t>
        </is>
      </c>
      <c r="C7" s="41" t="inlineStr">
        <is>
          <t>Todo el dia</t>
        </is>
      </c>
      <c r="D7" s="19" t="inlineStr">
        <is>
          <t>Parque Disney 1</t>
        </is>
      </c>
      <c r="E7" s="42" t="inlineStr">
        <is>
          <t>Confirmado</t>
        </is>
      </c>
      <c r="F7" s="19" t="inlineStr">
        <is>
          <t>-&gt; Comprar Lightning Lane Multi Pass apenas abre la app a las 7am.</t>
        </is>
      </c>
    </row>
    <row r="8" ht="34" customHeight="1">
      <c r="A8" s="18" t="inlineStr">
        <is>
          <t>07-feb (dom)</t>
        </is>
      </c>
      <c r="B8" s="41" t="inlineStr">
        <is>
          <t>-</t>
        </is>
      </c>
      <c r="C8" s="41" t="inlineStr">
        <is>
          <t>Todo el dia</t>
        </is>
      </c>
      <c r="D8" s="19" t="inlineStr">
        <is>
          <t>Parque Disney 2</t>
        </is>
      </c>
      <c r="E8" s="42" t="inlineStr">
        <is>
          <t>Confirmado</t>
        </is>
      </c>
      <c r="F8" s="19" t="inlineStr">
        <is>
          <t>-&gt; Reservar restaurante con Advance Dining Reservation si se sale del Quick-Service.</t>
        </is>
      </c>
    </row>
    <row r="9" ht="34" customHeight="1">
      <c r="A9" s="18" t="inlineStr">
        <is>
          <t>08-feb (lun)</t>
        </is>
      </c>
      <c r="B9" s="41" t="inlineStr">
        <is>
          <t>-</t>
        </is>
      </c>
      <c r="C9" s="41" t="inlineStr">
        <is>
          <t>Todo el dia</t>
        </is>
      </c>
      <c r="D9" s="19" t="inlineStr">
        <is>
          <t>Parque Disney 3</t>
        </is>
      </c>
      <c r="E9" s="42" t="inlineStr">
        <is>
          <t>Confirmado</t>
        </is>
      </c>
      <c r="F9" s="19" t="inlineStr">
        <is>
          <t>-&gt; Dia de mayor concurrencia -&gt; priorizar atracciones top apenas abre el parque.</t>
        </is>
      </c>
    </row>
    <row r="10" ht="34" customHeight="1">
      <c r="A10" s="18" t="inlineStr">
        <is>
          <t>09-feb (mar)</t>
        </is>
      </c>
      <c r="B10" s="41" t="inlineStr">
        <is>
          <t>-</t>
        </is>
      </c>
      <c r="C10" s="41" t="inlineStr">
        <is>
          <t>Todo el dia</t>
        </is>
      </c>
      <c r="D10" s="19" t="inlineStr">
        <is>
          <t>Parque Disney 4</t>
        </is>
      </c>
      <c r="E10" s="42" t="inlineStr">
        <is>
          <t>Confirmado</t>
        </is>
      </c>
      <c r="F10" s="19" t="inlineStr">
        <is>
          <t>-&gt; Aprovechar Extra Magic Hours si el hotel las tiene habilitadas ese dia.</t>
        </is>
      </c>
    </row>
    <row r="11" ht="34" customHeight="1">
      <c r="A11" s="18" t="inlineStr">
        <is>
          <t>10-feb (mie)</t>
        </is>
      </c>
      <c r="B11" s="41" t="inlineStr">
        <is>
          <t>-</t>
        </is>
      </c>
      <c r="C11" s="41" t="inlineStr">
        <is>
          <t>Todo el dia</t>
        </is>
      </c>
      <c r="D11" s="19" t="inlineStr">
        <is>
          <t>Parque Disney 5</t>
        </is>
      </c>
      <c r="E11" s="42" t="inlineStr">
        <is>
          <t>Confirmado</t>
        </is>
      </c>
      <c r="F11" s="19" t="inlineStr">
        <is>
          <t>-&gt; Guardar el ultimo dia de ticket Disney para el parque favorito del grupo.</t>
        </is>
      </c>
    </row>
    <row r="12" ht="34" customHeight="1">
      <c r="A12" s="18" t="inlineStr">
        <is>
          <t>11-feb (jue)</t>
        </is>
      </c>
      <c r="B12" s="41" t="inlineStr">
        <is>
          <t>-</t>
        </is>
      </c>
      <c r="C12" s="41" t="inlineStr">
        <is>
          <t>Todo el dia</t>
        </is>
      </c>
      <c r="D12" s="19" t="inlineStr">
        <is>
          <t>Descanso / Compras en Orlando International Premium Outlets</t>
        </is>
      </c>
      <c r="E12" s="43" t="inlineStr">
        <is>
          <t>Por organizar</t>
        </is>
      </c>
      <c r="F12" s="19" t="inlineStr">
        <is>
          <t>-&gt; Uber compartido con otras familias del resort para bajar el costo del traslado.</t>
        </is>
      </c>
    </row>
    <row r="13" ht="34" customHeight="1">
      <c r="A13" s="18" t="inlineStr">
        <is>
          <t>12-feb (vie)</t>
        </is>
      </c>
      <c r="B13" s="41" t="inlineStr">
        <is>
          <t>11:00</t>
        </is>
      </c>
      <c r="C13" s="41" t="inlineStr">
        <is>
          <t>Manana</t>
        </is>
      </c>
      <c r="D13" s="19" t="inlineStr">
        <is>
          <t>Check-out Disney -&gt; Check-in Universal Dockside Inn</t>
        </is>
      </c>
      <c r="E13" s="42" t="inlineStr">
        <is>
          <t>Confirmado</t>
        </is>
      </c>
      <c r="F13" s="19" t="inlineStr">
        <is>
          <t>-&gt; Guardar equipaje en Bell Services de Disney si el check-in de Universal es mas tarde.</t>
        </is>
      </c>
    </row>
    <row r="14" ht="34" customHeight="1">
      <c r="A14" s="18" t="inlineStr">
        <is>
          <t>12-feb (vie)</t>
        </is>
      </c>
      <c r="B14" s="41" t="inlineStr">
        <is>
          <t>-</t>
        </is>
      </c>
      <c r="C14" s="41" t="inlineStr">
        <is>
          <t>Tarde</t>
        </is>
      </c>
      <c r="D14" s="19" t="inlineStr">
        <is>
          <t>Early Park Admission Universal (segun ticket)</t>
        </is>
      </c>
      <c r="E14" s="42" t="inlineStr">
        <is>
          <t>Confirmado</t>
        </is>
      </c>
      <c r="F14" s="19" t="inlineStr">
        <is>
          <t>-&gt; Usar el transporte gratuito del hotel Dockside en vez de Uber.</t>
        </is>
      </c>
    </row>
    <row r="15" ht="34" customHeight="1">
      <c r="A15" s="18" t="inlineStr">
        <is>
          <t>13-feb (sab)</t>
        </is>
      </c>
      <c r="B15" s="41" t="inlineStr">
        <is>
          <t>-</t>
        </is>
      </c>
      <c r="C15" s="41" t="inlineStr">
        <is>
          <t>Todo el dia</t>
        </is>
      </c>
      <c r="D15" s="19" t="inlineStr">
        <is>
          <t>Universal Epic Universe</t>
        </is>
      </c>
      <c r="E15" s="42" t="inlineStr">
        <is>
          <t>Confirmado</t>
        </is>
      </c>
      <c r="F15" s="19" t="inlineStr">
        <is>
          <t>-&gt; Llegar 45 min antes de la apertura general por controles de seguridad reforzados.</t>
        </is>
      </c>
    </row>
    <row r="16" ht="34" customHeight="1">
      <c r="A16" s="18" t="inlineStr">
        <is>
          <t>14-feb (dom)</t>
        </is>
      </c>
      <c r="B16" s="41" t="inlineStr">
        <is>
          <t>-</t>
        </is>
      </c>
      <c r="C16" s="41" t="inlineStr">
        <is>
          <t>Todo el dia</t>
        </is>
      </c>
      <c r="D16" s="19" t="inlineStr">
        <is>
          <t>Universal's Islands of Adventure</t>
        </is>
      </c>
      <c r="E16" s="42" t="inlineStr">
        <is>
          <t>Confirmado</t>
        </is>
      </c>
      <c r="F16" s="19" t="inlineStr">
        <is>
          <t>-&gt; Ir directo a VelociCoaster apenas abre el parque.</t>
        </is>
      </c>
    </row>
    <row r="17" ht="34" customHeight="1">
      <c r="A17" s="18" t="inlineStr">
        <is>
          <t>15-feb (lun)</t>
        </is>
      </c>
      <c r="B17" s="41" t="inlineStr">
        <is>
          <t>-</t>
        </is>
      </c>
      <c r="C17" s="41" t="inlineStr">
        <is>
          <t>Todo el dia</t>
        </is>
      </c>
      <c r="D17" s="19" t="inlineStr">
        <is>
          <t>Dia libre / Compras</t>
        </is>
      </c>
      <c r="E17" s="43" t="inlineStr">
        <is>
          <t>Por organizar</t>
        </is>
      </c>
      <c r="F17" s="19" t="inlineStr">
        <is>
          <t>-&gt; Aprovechar para lavar ropa; la mayoria de los Dockside tienen lavanderia self-service.</t>
        </is>
      </c>
    </row>
    <row r="18" ht="34" customHeight="1">
      <c r="A18" s="18" t="inlineStr">
        <is>
          <t>16-feb (mar)</t>
        </is>
      </c>
      <c r="B18" s="41" t="inlineStr">
        <is>
          <t>-</t>
        </is>
      </c>
      <c r="C18" s="41" t="inlineStr">
        <is>
          <t>Todo el dia</t>
        </is>
      </c>
      <c r="D18" s="19" t="inlineStr">
        <is>
          <t>Universal Studios Florida</t>
        </is>
      </c>
      <c r="E18" s="42" t="inlineStr">
        <is>
          <t>Confirmado</t>
        </is>
      </c>
      <c r="F18" s="19" t="inlineStr">
        <is>
          <t>-&gt; Usar el Hogwarts Express (Park-to-Park) para moverse entre parques sin volver a la entrada.</t>
        </is>
      </c>
    </row>
    <row r="19" ht="34" customHeight="1">
      <c r="A19" s="18" t="inlineStr">
        <is>
          <t>17-feb (mie)</t>
        </is>
      </c>
      <c r="B19" s="41" t="inlineStr">
        <is>
          <t>-</t>
        </is>
      </c>
      <c r="C19" s="41" t="inlineStr">
        <is>
          <t>Manana</t>
        </is>
      </c>
      <c r="D19" s="19" t="inlineStr">
        <is>
          <t>Check-out Universal -&gt; 2 UberXL a MCO</t>
        </is>
      </c>
      <c r="E19" s="42" t="inlineStr">
        <is>
          <t>Confirmado</t>
        </is>
      </c>
      <c r="F19" s="19" t="inlineStr">
        <is>
          <t>-&gt; Salir con margen: 21 bultos de equipaje hacen mas lento el check-in en el aeropuerto domestico.</t>
        </is>
      </c>
    </row>
    <row r="20" ht="34" customHeight="1">
      <c r="A20" s="18" t="inlineStr">
        <is>
          <t>17-feb (mie)</t>
        </is>
      </c>
      <c r="B20" s="41" t="inlineStr">
        <is>
          <t>10:00</t>
        </is>
      </c>
      <c r="C20" s="41" t="inlineStr">
        <is>
          <t>Manana</t>
        </is>
      </c>
      <c r="D20" s="19" t="inlineStr">
        <is>
          <t>Vuelo AA1741 MCO -&gt; MIA (10:00 a 11:20)</t>
        </is>
      </c>
      <c r="E20" s="42" t="inlineStr">
        <is>
          <t>Confirmado</t>
        </is>
      </c>
      <c r="F20" s="19" t="inlineStr">
        <is>
          <t>-&gt; Vuelo corto domestico; despachar valijas grandes igual (no entran como carry-on).</t>
        </is>
      </c>
    </row>
    <row r="21" ht="34" customHeight="1">
      <c r="A21" s="18" t="inlineStr">
        <is>
          <t>17-feb (mie)</t>
        </is>
      </c>
      <c r="B21" s="41" t="inlineStr">
        <is>
          <t>11:20</t>
        </is>
      </c>
      <c r="C21" s="41" t="inlineStr">
        <is>
          <t>Mediodia/Tarde</t>
        </is>
      </c>
      <c r="D21" s="19" t="inlineStr">
        <is>
          <t>Llegada Miami -&gt; Check-in departamento Hollywood Beach + retiro de minivan</t>
        </is>
      </c>
      <c r="E21" s="43" t="inlineStr">
        <is>
          <t>Por organizar</t>
        </is>
      </c>
      <c r="F21" s="19" t="inlineStr">
        <is>
          <t>-&gt; Retirar la minivan (Chrysler Pacifica/Kia Carnival) directo en el aeropuerto MIA para evitar un traslado extra.</t>
        </is>
      </c>
    </row>
    <row r="22" ht="34" customHeight="1">
      <c r="A22" s="18" t="inlineStr">
        <is>
          <t>18-feb (jue)</t>
        </is>
      </c>
      <c r="B22" s="41" t="inlineStr">
        <is>
          <t>-</t>
        </is>
      </c>
      <c r="C22" s="41" t="inlineStr">
        <is>
          <t>Todo el dia</t>
        </is>
      </c>
      <c r="D22" s="19" t="inlineStr">
        <is>
          <t>Hollywood Beach - playa y Broadwalk</t>
        </is>
      </c>
      <c r="E22" s="43" t="inlineStr">
        <is>
          <t>Por organizar</t>
        </is>
      </c>
      <c r="F22" s="19" t="inlineStr">
        <is>
          <t>-&gt; Comprar en Publix o Walmart apenas se llega para no depender de delivery los primeros dias.</t>
        </is>
      </c>
    </row>
    <row r="23" ht="34" customHeight="1">
      <c r="A23" s="18" t="inlineStr">
        <is>
          <t>19-feb (vie)</t>
        </is>
      </c>
      <c r="B23" s="41" t="inlineStr">
        <is>
          <t>-</t>
        </is>
      </c>
      <c r="C23" s="41" t="inlineStr">
        <is>
          <t>Todo el dia</t>
        </is>
      </c>
      <c r="D23" s="19" t="inlineStr">
        <is>
          <t>Dia libre Miami / Excursion opcional</t>
        </is>
      </c>
      <c r="E23" s="43" t="inlineStr">
        <is>
          <t>Por organizar</t>
        </is>
      </c>
      <c r="F23" s="19" t="inlineStr">
        <is>
          <t>-&gt; Cargar SunPass antes de salir a la ruta para evitar recargos por peaje sin transponder.</t>
        </is>
      </c>
    </row>
    <row r="24" ht="34" customHeight="1">
      <c r="A24" s="18" t="inlineStr">
        <is>
          <t>20-feb (sab)</t>
        </is>
      </c>
      <c r="B24" s="41" t="inlineStr">
        <is>
          <t>-</t>
        </is>
      </c>
      <c r="C24" s="41" t="inlineStr">
        <is>
          <t>Todo el dia</t>
        </is>
      </c>
      <c r="D24" s="19" t="inlineStr">
        <is>
          <t>Miami - paseo urbano (Wynwood / South Beach)</t>
        </is>
      </c>
      <c r="E24" s="43" t="inlineStr">
        <is>
          <t>Por organizar</t>
        </is>
      </c>
      <c r="F24" s="19" t="inlineStr">
        <is>
          <t>-&gt; Estacionamiento pago en South Beach; verificar tarifa horaria antes de dejar la minivan.</t>
        </is>
      </c>
    </row>
    <row r="25" ht="34" customHeight="1">
      <c r="A25" s="18" t="inlineStr">
        <is>
          <t>21-feb (dom)</t>
        </is>
      </c>
      <c r="B25" s="41" t="inlineStr">
        <is>
          <t>-</t>
        </is>
      </c>
      <c r="C25" s="41" t="inlineStr">
        <is>
          <t>Todo el dia</t>
        </is>
      </c>
      <c r="D25" s="19" t="inlineStr">
        <is>
          <t>Ultimo dia libre + preparar valijas</t>
        </is>
      </c>
      <c r="E25" s="43" t="inlineStr">
        <is>
          <t>Por organizar</t>
        </is>
      </c>
      <c r="F25" s="19" t="inlineStr">
        <is>
          <t>-&gt; Revisar franquicia de equipaje del vuelo internacional (distinta a la domestica) antes de repartir compras.</t>
        </is>
      </c>
    </row>
    <row r="26" ht="34" customHeight="1">
      <c r="A26" s="18" t="inlineStr">
        <is>
          <t>22-feb (lun)</t>
        </is>
      </c>
      <c r="B26" s="41" t="inlineStr">
        <is>
          <t>-</t>
        </is>
      </c>
      <c r="C26" s="41" t="inlineStr">
        <is>
          <t>Tarde</t>
        </is>
      </c>
      <c r="D26" s="19" t="inlineStr">
        <is>
          <t>Check-out departamento + devolucion minivan en MIA</t>
        </is>
      </c>
      <c r="E26" s="43" t="inlineStr">
        <is>
          <t>Por organizar</t>
        </is>
      </c>
      <c r="F26" s="19" t="inlineStr">
        <is>
          <t>-&gt; Devolver el tanque lleno para evitar el cargo de combustible de la rentadora.</t>
        </is>
      </c>
    </row>
    <row r="27" ht="34" customHeight="1">
      <c r="A27" s="18" t="inlineStr">
        <is>
          <t>22-feb (lun)</t>
        </is>
      </c>
      <c r="B27" s="41" t="inlineStr">
        <is>
          <t>20:15</t>
        </is>
      </c>
      <c r="C27" s="41" t="inlineStr">
        <is>
          <t>Noche</t>
        </is>
      </c>
      <c r="D27" s="19" t="inlineStr">
        <is>
          <t>Vuelo AA931 MIA -&gt; EZE (20:15, llega 07:25 del 23-feb)</t>
        </is>
      </c>
      <c r="E27" s="42" t="inlineStr">
        <is>
          <t>Confirmado</t>
        </is>
      </c>
      <c r="F27" s="19" t="inlineStr">
        <is>
          <t>-&gt; Llegar a MIA con 3.5h de anticipacion por ser vuelo internacional con 7 pasajeros y equipaje voluminoso.</t>
        </is>
      </c>
    </row>
    <row r="29" ht="18" customHeight="1">
      <c r="A29" s="44" t="inlineStr">
        <is>
          <t>Confirmado = ya reservado/facturado (vuelos, Disney, Universal). Por organizar = todavia sin reserva (Hollywood Beach, minivan, dias libres de Miami).</t>
        </is>
      </c>
    </row>
  </sheetData>
  <mergeCells count="2">
    <mergeCell ref="A1:F1"/>
    <mergeCell ref="A29:F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1"/>
  <sheetViews>
    <sheetView showGridLines="0" workbookViewId="0">
      <selection activeCell="A1" sqref="A1"/>
    </sheetView>
  </sheetViews>
  <sheetFormatPr baseColWidth="8" defaultRowHeight="15"/>
  <cols>
    <col width="12" customWidth="1" min="1" max="1"/>
    <col width="10" customWidth="1" min="2" max="2"/>
    <col width="16" customWidth="1" min="3" max="3"/>
    <col width="14" customWidth="1" min="4" max="4"/>
    <col width="14" customWidth="1" min="5" max="5"/>
    <col width="10" customWidth="1" min="6" max="6"/>
    <col width="16" customWidth="1" min="7" max="7"/>
    <col width="18" customWidth="1" min="8" max="8"/>
  </cols>
  <sheetData>
    <row r="1" ht="30" customHeight="1">
      <c r="A1" s="1" t="inlineStr">
        <is>
          <t>LOGISTICA TERRESTRE Y VUELOS</t>
        </is>
      </c>
      <c r="B1" s="2" t="n"/>
      <c r="C1" s="2" t="n"/>
      <c r="D1" s="2" t="n"/>
      <c r="E1" s="2" t="n"/>
      <c r="F1" s="2" t="n"/>
      <c r="G1" s="2" t="n"/>
      <c r="H1" s="2" t="n"/>
    </row>
    <row r="3" ht="20" customHeight="1">
      <c r="A3" s="4" t="inlineStr">
        <is>
          <t>TABLA 1: HORARIOS DE VUELOS (PNR AA ETPWSR / Booking B4ZHG8)</t>
        </is>
      </c>
      <c r="B3" s="5" t="n"/>
      <c r="C3" s="5" t="n"/>
      <c r="D3" s="5" t="n"/>
      <c r="E3" s="5" t="n"/>
      <c r="F3" s="5" t="n"/>
      <c r="G3" s="5" t="n"/>
      <c r="H3" s="5" t="n"/>
    </row>
    <row r="4" ht="18" customHeight="1">
      <c r="A4" s="29" t="inlineStr">
        <is>
          <t>Fecha</t>
        </is>
      </c>
      <c r="B4" s="29" t="inlineStr">
        <is>
          <t>Vuelo</t>
        </is>
      </c>
      <c r="C4" s="29" t="inlineStr">
        <is>
          <t>Tramo</t>
        </is>
      </c>
      <c r="D4" s="29" t="inlineStr">
        <is>
          <t>Salida</t>
        </is>
      </c>
      <c r="E4" s="29" t="inlineStr">
        <is>
          <t>Llegada</t>
        </is>
      </c>
      <c r="F4" s="29" t="inlineStr">
        <is>
          <t>Duracion</t>
        </is>
      </c>
      <c r="G4" s="29" t="inlineStr">
        <is>
          <t>Terminal</t>
        </is>
      </c>
      <c r="H4" s="29" t="inlineStr">
        <is>
          <t>Equipo</t>
        </is>
      </c>
    </row>
    <row r="5" ht="16" customHeight="1">
      <c r="A5" s="41" t="inlineStr">
        <is>
          <t>05-feb-2027</t>
        </is>
      </c>
      <c r="B5" s="41" t="inlineStr">
        <is>
          <t>AA 982</t>
        </is>
      </c>
      <c r="C5" s="41" t="inlineStr">
        <is>
          <t>EZE -&gt; MIA</t>
        </is>
      </c>
      <c r="D5" s="41" t="inlineStr">
        <is>
          <t>10:10</t>
        </is>
      </c>
      <c r="E5" s="41" t="inlineStr">
        <is>
          <t>17:20</t>
        </is>
      </c>
      <c r="F5" s="41" t="inlineStr">
        <is>
          <t>9:10</t>
        </is>
      </c>
      <c r="G5" s="41" t="inlineStr">
        <is>
          <t>P (EZE, salida)</t>
        </is>
      </c>
      <c r="H5" s="41" t="inlineStr">
        <is>
          <t>Boeing 787-8</t>
        </is>
      </c>
    </row>
    <row r="6" ht="16" customHeight="1">
      <c r="A6" s="41" t="inlineStr">
        <is>
          <t>05-feb-2027</t>
        </is>
      </c>
      <c r="B6" s="41" t="inlineStr">
        <is>
          <t>AA 1856</t>
        </is>
      </c>
      <c r="C6" s="41" t="inlineStr">
        <is>
          <t>MIA -&gt; MCO</t>
        </is>
      </c>
      <c r="D6" s="41" t="inlineStr">
        <is>
          <t>18:56</t>
        </is>
      </c>
      <c r="E6" s="41" t="inlineStr">
        <is>
          <t>20:15</t>
        </is>
      </c>
      <c r="F6" s="41" t="inlineStr">
        <is>
          <t>1:19</t>
        </is>
      </c>
      <c r="G6" s="41" t="inlineStr">
        <is>
          <t>B (MCO, llegada)</t>
        </is>
      </c>
      <c r="H6" s="41" t="inlineStr">
        <is>
          <t>Boeing 737 MAX 8</t>
        </is>
      </c>
    </row>
    <row r="7" ht="16" customHeight="1">
      <c r="A7" s="41" t="inlineStr">
        <is>
          <t>17-feb-2027</t>
        </is>
      </c>
      <c r="B7" s="41" t="inlineStr">
        <is>
          <t>AA 1741</t>
        </is>
      </c>
      <c r="C7" s="41" t="inlineStr">
        <is>
          <t>MCO -&gt; MIA</t>
        </is>
      </c>
      <c r="D7" s="41" t="inlineStr">
        <is>
          <t>10:00</t>
        </is>
      </c>
      <c r="E7" s="41" t="inlineStr">
        <is>
          <t>11:20</t>
        </is>
      </c>
      <c r="F7" s="41" t="inlineStr">
        <is>
          <t>1:20</t>
        </is>
      </c>
      <c r="G7" s="41" t="inlineStr">
        <is>
          <t>B (MCO, salida)</t>
        </is>
      </c>
      <c r="H7" s="41" t="inlineStr">
        <is>
          <t>Boeing 737 MAX 8</t>
        </is>
      </c>
    </row>
    <row r="8" ht="16" customHeight="1">
      <c r="A8" s="41" t="inlineStr">
        <is>
          <t>22-feb-2027</t>
        </is>
      </c>
      <c r="B8" s="41" t="inlineStr">
        <is>
          <t>AA 931</t>
        </is>
      </c>
      <c r="C8" s="41" t="inlineStr">
        <is>
          <t>MIA -&gt; EZE</t>
        </is>
      </c>
      <c r="D8" s="41" t="inlineStr">
        <is>
          <t>20:15</t>
        </is>
      </c>
      <c r="E8" s="41" t="inlineStr">
        <is>
          <t>07:25 (23-feb)</t>
        </is>
      </c>
      <c r="F8" s="41" t="inlineStr">
        <is>
          <t>9:10</t>
        </is>
      </c>
      <c r="G8" s="41" t="inlineStr">
        <is>
          <t>IA (EZE, llegada)</t>
        </is>
      </c>
      <c r="H8" s="41" t="inlineStr">
        <is>
          <t>Boeing 777-200/200ER</t>
        </is>
      </c>
    </row>
    <row r="10">
      <c r="A10" s="44" t="inlineStr">
        <is>
          <t>Nota: costo de los pasajes no disponible en el e-ticket. Ver fila 'Vuelos' en Matriz Financiera (celda A COMPLETAR).</t>
        </is>
      </c>
    </row>
    <row r="12" ht="20" customHeight="1">
      <c r="A12" s="4" t="inlineStr">
        <is>
          <t>TABLA 2: ANALISIS ALQUILER MINIVAN MIAMI (7 pax, 17 al 22-feb-2027)</t>
        </is>
      </c>
      <c r="B12" s="5" t="n"/>
      <c r="C12" s="5" t="n"/>
      <c r="D12" s="5" t="n"/>
      <c r="E12" s="5" t="n"/>
      <c r="F12" s="5" t="n"/>
      <c r="G12" s="5" t="n"/>
      <c r="H12" s="5" t="n"/>
    </row>
    <row r="13" ht="18" customHeight="1">
      <c r="A13" s="45" t="inlineStr">
        <is>
          <t>Concepto</t>
        </is>
      </c>
      <c r="B13" s="45" t="inlineStr">
        <is>
          <t>Detalle</t>
        </is>
      </c>
      <c r="C13" s="37" t="n"/>
      <c r="D13" s="37" t="n"/>
      <c r="E13" s="37" t="n"/>
      <c r="F13" s="38" t="n"/>
    </row>
    <row r="14" ht="30" customHeight="1">
      <c r="A14" s="33" t="inlineStr">
        <is>
          <t>Tarifa base</t>
        </is>
      </c>
      <c r="B14" s="19" t="inlineStr">
        <is>
          <t>Minivan 7 pax (Chrysler Pacifica / Kia Carnival), 5 dias, retiro/devolucion en MIA</t>
        </is>
      </c>
      <c r="C14" s="36" t="n"/>
      <c r="D14" s="36" t="n"/>
      <c r="E14" s="36" t="n"/>
      <c r="F14" s="36" t="n"/>
      <c r="G14" s="22" t="n">
        <v>0</v>
      </c>
    </row>
    <row r="15" ht="30" customHeight="1">
      <c r="A15" s="33" t="inlineStr">
        <is>
          <t>Seguro CDW</t>
        </is>
      </c>
      <c r="B15" s="19" t="inlineStr">
        <is>
          <t>Collision Damage Waiver. Verificar cobertura Visa Signature/AIG del titular antes de contratarlo con la rentadora.</t>
        </is>
      </c>
      <c r="C15" s="36" t="n"/>
      <c r="D15" s="36" t="n"/>
      <c r="E15" s="36" t="n"/>
      <c r="F15" s="36" t="n"/>
      <c r="G15" s="22" t="n">
        <v>0</v>
      </c>
    </row>
    <row r="16" ht="30" customHeight="1">
      <c r="A16" s="33" t="inlineStr">
        <is>
          <t>Seguro LIS</t>
        </is>
      </c>
      <c r="B16" s="19" t="inlineStr">
        <is>
          <t>Liability Insurance Supplement</t>
        </is>
      </c>
      <c r="C16" s="36" t="n"/>
      <c r="D16" s="36" t="n"/>
      <c r="E16" s="36" t="n"/>
      <c r="F16" s="36" t="n"/>
      <c r="G16" s="22" t="n">
        <v>0</v>
      </c>
    </row>
    <row r="17" ht="30" customHeight="1">
      <c r="A17" s="33" t="inlineStr">
        <is>
          <t>Peajes / SunPass</t>
        </is>
      </c>
      <c r="B17" s="19" t="inlineStr">
        <is>
          <t>Transponder o pase electronico para autopistas de Florida durante los 5 dias</t>
        </is>
      </c>
      <c r="C17" s="36" t="n"/>
      <c r="D17" s="36" t="n"/>
      <c r="E17" s="36" t="n"/>
      <c r="F17" s="36" t="n"/>
      <c r="G17" s="22" t="n">
        <v>0</v>
      </c>
    </row>
    <row r="18" ht="30" customHeight="1">
      <c r="A18" s="33" t="inlineStr">
        <is>
          <t>Estacionamiento Hollywood</t>
        </is>
      </c>
      <c r="B18" s="19" t="inlineStr">
        <is>
          <t>Estacionamiento del departamento/edificio en Hollywood Beach</t>
        </is>
      </c>
      <c r="C18" s="36" t="n"/>
      <c r="D18" s="36" t="n"/>
      <c r="E18" s="36" t="n"/>
      <c r="F18" s="36" t="n"/>
      <c r="G18" s="22" t="n">
        <v>0</v>
      </c>
    </row>
    <row r="19" ht="20" customHeight="1">
      <c r="A19" s="46" t="inlineStr">
        <is>
          <t>SUBTOTAL ALQUILER AUTO</t>
        </is>
      </c>
      <c r="B19" s="25" t="n"/>
      <c r="C19" s="25" t="n"/>
      <c r="D19" s="25" t="n"/>
      <c r="E19" s="25" t="n"/>
      <c r="F19" s="25" t="n"/>
      <c r="G19" s="47">
        <f>SUM(G14:G18)</f>
        <v/>
      </c>
    </row>
    <row r="21" ht="30" customHeight="1">
      <c r="A21" s="40" t="inlineStr">
        <is>
          <t>Este subtotal debe transcribirse manualmente a la fila 'Alquiler Auto Miami' (columna Costo Total USD) de la pestana Matriz Financiera cuando se confirme la cotizacion real de la rentadora.</t>
        </is>
      </c>
    </row>
  </sheetData>
  <mergeCells count="12">
    <mergeCell ref="A12:H12"/>
    <mergeCell ref="A3:H3"/>
    <mergeCell ref="A21:H21"/>
    <mergeCell ref="B16:F16"/>
    <mergeCell ref="A19:F19"/>
    <mergeCell ref="B15:F15"/>
    <mergeCell ref="A10:H10"/>
    <mergeCell ref="B14:F14"/>
    <mergeCell ref="A1:H1"/>
    <mergeCell ref="B17:F17"/>
    <mergeCell ref="B18:F18"/>
    <mergeCell ref="B13:F1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4"/>
  <sheetViews>
    <sheetView showGridLines="0" workbookViewId="0">
      <selection activeCell="A1" sqref="A1"/>
    </sheetView>
  </sheetViews>
  <sheetFormatPr baseColWidth="8" defaultRowHeight="15"/>
  <cols>
    <col width="95" customWidth="1" min="1" max="1"/>
  </cols>
  <sheetData>
    <row r="1" ht="30" customHeight="1">
      <c r="A1" s="1" t="inlineStr">
        <is>
          <t>GUIA OPERATIVA</t>
        </is>
      </c>
    </row>
    <row r="3" ht="20" customHeight="1">
      <c r="A3" s="4" t="inlineStr">
        <is>
          <t>TIP: COMPRAS EN WALMART / PUBLIX (HOLLYWOOD BEACH)</t>
        </is>
      </c>
    </row>
    <row r="4" ht="70" customHeight="1">
      <c r="A4" s="9" t="inlineStr">
        <is>
          <t>Al llegar al departamento en Hollywood Beach, hacer una compra grande en Walmart o Publix (desayuno, snacks, agua, algo de cocina simple) en vez de comer afuera las 3 comidas. Con cocina disponible en el departamento esto reduce fuertemente el gasto diario de comida frente a los $60 USD/adulto/dia estimados en la Matriz Financiera para Universal + Miami.</t>
        </is>
      </c>
    </row>
    <row r="6" ht="20" customHeight="1">
      <c r="A6" s="4" t="inlineStr">
        <is>
          <t>TIP: SEGURO DEL AUTO YA CUBIERTO (VISA SIGNATURE / AIG)</t>
        </is>
      </c>
    </row>
    <row r="7" ht="70" customHeight="1">
      <c r="A7" s="9" t="inlineStr">
        <is>
          <t>La tarjeta Visa Signature (Argentina) tiene un beneficio de Danio a la Propiedad de Vehiculos Alquilados (CDW) provisto por AIG, sin costo adicional, valido a nivel mundial. Antes de contratar el CDW de la rentadora en Miami, confirmar con el banco emisor la vigencia y el tope de cobertura para esa tarjeta; si aplica, se puede rechazar el CDW de la rentadora y ahorrar ese costo en la Tabla 2 de la pestana 'Logistica Terrestre y Vuelos'.</t>
        </is>
      </c>
    </row>
    <row r="9" ht="20" customHeight="1">
      <c r="A9" s="4" t="inlineStr">
        <is>
          <t>TIP: EQUIPAJE EN EL TRAMO INTERNO MCO-MIA (17-feb)</t>
        </is>
      </c>
    </row>
    <row r="10" ht="60" customHeight="1">
      <c r="A10" s="9" t="inlineStr">
        <is>
          <t>El grupo viaja con 21 bultos (7 valijas grandes + 7 carry-on + 7 mochilas). Para el vuelo domestico AA1741 MCO-MIA hay que despachar las valijas grandes igual que en un vuelo internacional; calcular al menos 2 horas de anticipacion en el aeropuerto de Orlando para no correr con el chequeo de equipaje.</t>
        </is>
      </c>
    </row>
    <row r="12" ht="20" customHeight="1">
      <c r="A12" s="4" t="inlineStr">
        <is>
          <t>FORMULA DE CONTROL DEL PRESUPUESTO TOTAL DEL GRUPO</t>
        </is>
      </c>
    </row>
    <row r="13" ht="40" customHeight="1">
      <c r="A13" s="48" t="inlineStr">
        <is>
          <t>C_total_grupo = N x ( C_hospedaje + C_atracciones + n x (C_comida + C_transporte_local) + C_seguro )</t>
        </is>
      </c>
    </row>
    <row r="14" ht="55" customHeight="1">
      <c r="A14" s="40" t="inlineStr">
        <is>
          <t>Donde N = cantidad total de personas del grupo (7), n = cantidad de personas que comparten gastos diarios de comida y transporte local, C_hospedaje = costo de alojamiento, C_atracciones = costo de tickets a parques, C_comida = costo diario de comida por persona, C_transporte_local = costo diario de transporte local por persona, C_seguro = costo del seguro de asistencia medica internacional.</t>
        </is>
      </c>
    </row>
  </sheetData>
  <mergeCells count="5">
    <mergeCell ref="A6"/>
    <mergeCell ref="A12"/>
    <mergeCell ref="A9"/>
    <mergeCell ref="A3"/>
    <mergeCell ref="A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2026-07-27T23:16:27Z</dcterms:created>
  <dcterms:modified xsi:type="dcterms:W3CDTF">2026-07-27T23:16:27Z</dcterms:modified>
</cp:coreProperties>
</file>