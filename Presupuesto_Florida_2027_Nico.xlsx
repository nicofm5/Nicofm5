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y Reglas" sheetId="1" state="visible" r:id="rId1"/>
    <sheet name="Matriz Financiera" sheetId="2" state="visible" r:id="rId2"/>
    <sheet name="Registro de Gastos" sheetId="3" state="visible" r:id="rId3"/>
    <sheet name="Itinerario Flash" sheetId="4" state="visible" r:id="rId4"/>
    <sheet name="Logistica Terrestre y Vuelos" sheetId="5" state="visible" r:id="rId5"/>
    <sheet name="Guia Operativa" sheetId="6" state="visible" r:id="rId6"/>
  </sheets>
  <definedNames>
    <definedName name="N1_PAX">'Matriz Financiera'!$J$2</definedName>
    <definedName name="N2_PAX">'Matriz Financiera'!$J$3</definedName>
    <definedName name="N3_PAX">'Matriz Financiera'!$J$4</definedName>
    <definedName name="TOTAL_PAX">'Matriz Financiera'!$J$5</definedName>
    <definedName name="N1_ADULTS">'Matriz Financiera'!$J$6</definedName>
    <definedName name="N2_ADULTS">'Matriz Financiera'!$J$7</definedName>
    <definedName name="N3_ADULTS">'Matriz Financiera'!$J$8</definedName>
    <definedName name="TOTAL_ADULTS">'Matriz Financiera'!$J$9</definedName>
    <definedName name="DIAS_COMIDA">'Matriz Financiera'!$J$10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2"/>
    </font>
    <font>
      <name val="Calibri"/>
      <b val="1"/>
      <color rgb="00FFFFFF"/>
      <sz val="11"/>
    </font>
    <font>
      <name val="Calibri"/>
      <sz val="10.5"/>
    </font>
    <font>
      <name val="Calibri"/>
      <b val="1"/>
      <sz val="10.5"/>
    </font>
    <font>
      <name val="Calibri"/>
      <b val="1"/>
      <color rgb="00C00000"/>
      <sz val="10.5"/>
    </font>
    <font>
      <name val="Calibri"/>
      <color rgb="007F6000"/>
      <sz val="10.5"/>
    </font>
    <font>
      <b val="1"/>
      <sz val="11"/>
    </font>
    <font>
      <i val="1"/>
      <sz val="10"/>
    </font>
    <font>
      <i val="1"/>
      <sz val="9.5"/>
    </font>
    <font>
      <b val="1"/>
      <color rgb="00375623"/>
      <sz val="9.5"/>
    </font>
    <font>
      <b val="1"/>
      <color rgb="007F6000"/>
      <sz val="9.5"/>
    </font>
    <font>
      <b val="1"/>
    </font>
    <font>
      <name val="Cambria Math"/>
      <b val="1"/>
      <i val="1"/>
      <sz val="13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D9E2F3"/>
      </patternFill>
    </fill>
    <fill>
      <patternFill patternType="solid">
        <fgColor rgb="00C00000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6" fillId="6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5" fillId="0" borderId="1" pivotButton="0" quotePrefix="0" xfId="0"/>
    <xf numFmtId="164" fontId="0" fillId="0" borderId="1" pivotButton="0" quotePrefix="0" xfId="0"/>
    <xf numFmtId="164" fontId="7" fillId="7" borderId="1" pivotButton="0" quotePrefix="0" xfId="0"/>
    <xf numFmtId="0" fontId="5" fillId="7" borderId="0" applyAlignment="1" pivotButton="0" quotePrefix="0" xfId="0">
      <alignment horizontal="center" vertical="center"/>
    </xf>
    <xf numFmtId="0" fontId="8" fillId="8" borderId="1" pivotButton="0" quotePrefix="0" xfId="0"/>
    <xf numFmtId="0" fontId="0" fillId="8" borderId="1" pivotButton="0" quotePrefix="0" xfId="0"/>
    <xf numFmtId="164" fontId="8" fillId="8" borderId="1" pivotButton="0" quotePrefix="0" xfId="0"/>
    <xf numFmtId="0" fontId="5" fillId="0" borderId="0" pivotButton="0" quotePrefix="0" xfId="0"/>
    <xf numFmtId="0" fontId="9" fillId="4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top" wrapText="1"/>
    </xf>
    <xf numFmtId="0" fontId="4" fillId="9" borderId="1" pivotButton="0" quotePrefix="0" xfId="0"/>
    <xf numFmtId="164" fontId="4" fillId="9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13" fillId="8" borderId="1" pivotButton="0" quotePrefix="0" xfId="0"/>
    <xf numFmtId="164" fontId="13" fillId="8" borderId="1" pivotButton="0" quotePrefix="0" xfId="0"/>
    <xf numFmtId="0" fontId="1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Presupuesto Florida 2027</author>
  </authors>
  <commentList>
    <comment ref="B5" authorId="0" shapeId="0">
      <text>
        <t>Montos reales facturados por Disney (no estimados). Saldos vencen 06-ene-2027.</t>
      </text>
    </comment>
    <comment ref="B6" authorId="0" shapeId="0">
      <text>
        <t>N1 = monto real de su reserva. N2/N3 = mitad de la reserva conjunta 63W124U2 ($4,433.94/2). Saldos vencen 29-dic-2026.</t>
      </text>
    </comment>
    <comment ref="C7" authorId="0" shapeId="0">
      <text>
        <t>A COMPLETAR: cargar aqui el costo total real de los 7 pasajes cuando se conozca.</t>
      </text>
    </comment>
    <comment ref="B8" authorId="0" shapeId="0">
      <text>
        <t>Estimado sourced del analisis de traslados del grupo (~$25.71/persona x 7 / 2 tramos = ~$90 por tramo de 2 UberXL). Editable.</t>
      </text>
    </comment>
    <comment ref="B9" authorId="0" shapeId="0">
      <text>
        <t>Estimado sourced, mismo criterio que el traslado de llegada. Editable.</t>
      </text>
    </comment>
    <comment ref="B10" authorId="0" shapeId="0">
      <text>
        <t>A COMPLETAR: no se encontro reserva en Drive. Cargar el costo total cuando se confirme el alojamiento.</t>
      </text>
    </comment>
    <comment ref="B11" authorId="0" shapeId="0">
      <text>
        <t>A COMPLETAR. Ver Pestana 4 'Logistica Terrestre y Vuelos' para el desglose de este monto (tarifa + seguros + peajes + estacionamiento).</t>
      </text>
    </comment>
    <comment ref="B12" authorId="0" shapeId="0">
      <text>
        <t>Total = 60 x TOTAL_ADULTS x DIAS_COMIDA (formula activa). Reparto por adultos: Delfina (6 anos) no cuenta como adulto.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6" customHeight="1">
      <c r="A1" s="1" t="inlineStr">
        <is>
          <t>PRESUPUESTO FLORIDA 2027 - FAMILIA MAYDANA / AGULLO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Orlando (Disney + Universal) y Miami (Hollywood Beach) | 05-feb al 22-feb-2027 | Grupo de 7 personas</t>
        </is>
      </c>
    </row>
    <row r="4" ht="20" customHeight="1">
      <c r="A4" s="4" t="inlineStr">
        <is>
          <t>REGLAS DE DIVISION DE GASTOS POR NUCLEO</t>
        </is>
      </c>
      <c r="B4" s="5" t="n"/>
      <c r="C4" s="5" t="n"/>
      <c r="D4" s="5" t="n"/>
      <c r="E4" s="5" t="n"/>
      <c r="F4" s="5" t="n"/>
    </row>
    <row r="5" ht="60" customHeight="1">
      <c r="A5" s="6" t="inlineStr">
        <is>
          <t>El grupo (N=7) se organiza en 3 nucleos financieros independientes. Cada nucleo paga sus propios gastos de tierra (hospedaje, entradas, comida, transporte local) segun lo facturado a su nombre. La UNICA excepcion es el rubro Vuelos: por regla especial, el Nucleo 1 absorbe el 100% del costo aereo de los 7 pasajeros (EZE-MIA-MCO ida / MCO-MIA...MIA-EZE vuelta), y los Nucleos 2 y 3 quedan completamente exentos de ese gasto (0% vuelos).</t>
        </is>
      </c>
    </row>
    <row r="7" ht="18" customHeight="1">
      <c r="A7" s="7" t="inlineStr">
        <is>
          <t>Nucleo</t>
        </is>
      </c>
      <c r="B7" s="7" t="inlineStr">
        <is>
          <t>Integrantes</t>
        </is>
      </c>
      <c r="C7" s="7" t="inlineStr">
        <is>
          <t>Regla de gasto</t>
        </is>
      </c>
    </row>
    <row r="8" ht="46" customHeight="1">
      <c r="A8" s="8" t="inlineStr">
        <is>
          <t>NUCLEO 1</t>
        </is>
      </c>
      <c r="B8" s="9" t="inlineStr">
        <is>
          <t>Rodolfo, Claudia, Delfina (6)</t>
        </is>
      </c>
      <c r="C8" s="9" t="inlineStr">
        <is>
          <t>Paga 100% de sus gastos propios (Disney, Universal, etc.) + 100% de TODOS los tickets aereos del grupo (EZE-MCO / MCO-MIA / MIA-EZE).</t>
        </is>
      </c>
      <c r="D8" s="10" t="n"/>
      <c r="E8" s="10" t="n"/>
      <c r="F8" s="10" t="n"/>
    </row>
    <row r="9" ht="46" customHeight="1">
      <c r="A9" s="8" t="inlineStr">
        <is>
          <t>NUCLEO 2</t>
        </is>
      </c>
      <c r="B9" s="9" t="inlineStr">
        <is>
          <t>Florencia, German</t>
        </is>
      </c>
      <c r="C9" s="9" t="inlineStr">
        <is>
          <t>Paga 100% de sus gastos en tierra. 0% de gastos aereos (exento).</t>
        </is>
      </c>
      <c r="D9" s="10" t="n"/>
      <c r="E9" s="10" t="n"/>
      <c r="F9" s="10" t="n"/>
    </row>
    <row r="10" ht="46" customHeight="1">
      <c r="A10" s="8" t="inlineStr">
        <is>
          <t>NUCLEO 3</t>
        </is>
      </c>
      <c r="B10" s="9" t="inlineStr">
        <is>
          <t>Nicolas, Natalia</t>
        </is>
      </c>
      <c r="C10" s="9" t="inlineStr">
        <is>
          <t>Paga 100% de sus gastos en tierra compartidos. 0% de gastos aereos (exento). El costo individual de Nicolas es exactamente la mitad (=Costo_Nucleo3/2) del total del nucleo.</t>
        </is>
      </c>
      <c r="D10" s="10" t="n"/>
      <c r="E10" s="10" t="n"/>
      <c r="F10" s="10" t="n"/>
    </row>
    <row r="12" ht="20" customHeight="1">
      <c r="A12" s="11" t="inlineStr">
        <is>
          <t>ALERTAS OBLIGATORIAS</t>
        </is>
      </c>
      <c r="B12" s="12" t="n"/>
      <c r="C12" s="12" t="n"/>
      <c r="D12" s="12" t="n"/>
      <c r="E12" s="12" t="n"/>
      <c r="F12" s="12" t="n"/>
    </row>
    <row r="13" ht="32" customHeight="1">
      <c r="A13" s="13" t="inlineStr">
        <is>
          <t>⚠ VISA AMERICANA B1/B2: verificar vigencia de la visa de EE.UU. de los 7 pasajeros antes del 05-feb-2027. Sin visa vigente no se puede abordar el vuelo EZE-MIA (AA982).</t>
        </is>
      </c>
    </row>
    <row r="14" ht="32" customHeight="1">
      <c r="A14" s="13" t="inlineStr">
        <is>
          <t>⚠ PASAPORTE: los 7 pasaportes deben tener un minimo de 6 MESES de vigencia posteriores a la fecha de regreso (23-feb-2027), es decir vigentes al menos hasta 23-ago-2027.</t>
        </is>
      </c>
    </row>
    <row r="15" ht="32" customHeight="1">
      <c r="A15" s="13" t="inlineStr">
        <is>
          <t>⚠ SEGURO DE VIAJE: contratacion OBLIGATORIA de asistencia medica internacional para los 7 pasajeros. Ninguno de los paquetes de Disney/Universal actuales la incluye.</t>
        </is>
      </c>
    </row>
    <row r="16" ht="32" customHeight="1">
      <c r="A16" s="13" t="inlineStr">
        <is>
          <t>⚠ VENCIMIENTO DISNEY: saldo de las 3 reservas (Art of Animation) vence el 06-ene-2027 (ver Matriz Financiera / notas por reserva).</t>
        </is>
      </c>
    </row>
    <row r="17" ht="32" customHeight="1">
      <c r="A17" s="13" t="inlineStr">
        <is>
          <t>⚠ VENCIMIENTO UNIVERSAL: saldo de las 2 reservas (Dockside Inn) vence el 29-dic-2026.</t>
        </is>
      </c>
    </row>
    <row r="19" ht="20" customHeight="1">
      <c r="A19" s="4" t="inlineStr">
        <is>
          <t>COMO LEER ESTE LIBRO</t>
        </is>
      </c>
      <c r="B19" s="5" t="n"/>
      <c r="C19" s="5" t="n"/>
      <c r="D19" s="5" t="n"/>
      <c r="E19" s="5" t="n"/>
      <c r="F19" s="5" t="n"/>
    </row>
    <row r="20" ht="26" customHeight="1">
      <c r="A20" s="6" t="inlineStr">
        <is>
          <t>• Pestana 2 (Matriz Financiera): presupuesto PROYECTADO segun lo ya reservado/facturado. Todas las celdas de costo total y costo de Nicolas son FORMULAS activas de Excel. Las celdas resaltadas en amarillo son estimaciones editables.</t>
        </is>
      </c>
    </row>
    <row r="21" ht="26" customHeight="1">
      <c r="A21" s="6" t="inlineStr">
        <is>
          <t>• Pestana 3 (Registro de Gastos): Nico le cuenta los gastos reales a Claude por chat y esta hoja se mantiene actualizada sola. Los totales por nucleo se calculan solos con formulas.</t>
        </is>
      </c>
    </row>
    <row r="22" ht="26" customHeight="1">
      <c r="A22" s="6" t="inlineStr">
        <is>
          <t>• Pestana 4 (Itinerario Flash): calendario dia a dia con horarios reales de vuelo y estado Confirmado / Por organizar de cada actividad.</t>
        </is>
      </c>
    </row>
    <row r="23" ht="26" customHeight="1">
      <c r="A23" s="6" t="inlineStr">
        <is>
          <t>• Pestana 5 (Logistica): tabla de vuelos reales (PNR ETPWSR / booking B4ZHG8) y analisis de alquiler de minivan en Miami.</t>
        </is>
      </c>
    </row>
    <row r="24" ht="26" customHeight="1">
      <c r="A24" s="6" t="inlineStr">
        <is>
          <t>• Pestana 6 (Guia Operativa): tips practicos y la formula de control del presupuesto total del grupo.</t>
        </is>
      </c>
    </row>
  </sheetData>
  <mergeCells count="20">
    <mergeCell ref="A16:F16"/>
    <mergeCell ref="C8:F8"/>
    <mergeCell ref="C7:F7"/>
    <mergeCell ref="A12:F12"/>
    <mergeCell ref="A21:F21"/>
    <mergeCell ref="A2:F2"/>
    <mergeCell ref="A14:F14"/>
    <mergeCell ref="A5:F5"/>
    <mergeCell ref="A23:F23"/>
    <mergeCell ref="A22:F22"/>
    <mergeCell ref="A17:F17"/>
    <mergeCell ref="A4:F4"/>
    <mergeCell ref="A20:F20"/>
    <mergeCell ref="A13:F13"/>
    <mergeCell ref="A19:F19"/>
    <mergeCell ref="C10:F10"/>
    <mergeCell ref="A15:F15"/>
    <mergeCell ref="A24:F24"/>
    <mergeCell ref="C9:F9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5" customWidth="1" min="4" max="4"/>
    <col width="15" customWidth="1" min="5" max="5"/>
    <col width="15" customWidth="1" min="6" max="6"/>
    <col width="18" customWidth="1" min="7" max="7"/>
    <col width="2" customWidth="1" min="8" max="8"/>
    <col width="22" customWidth="1" min="9" max="9"/>
    <col width="12" customWidth="1" min="10" max="10"/>
  </cols>
  <sheetData>
    <row r="1" ht="30" customHeight="1">
      <c r="A1" s="1" t="inlineStr">
        <is>
          <t>MATRIZ FINANCIERA</t>
        </is>
      </c>
      <c r="B1" s="2" t="n"/>
      <c r="C1" s="2" t="n"/>
      <c r="D1" s="2" t="n"/>
      <c r="E1" s="2" t="n"/>
      <c r="F1" s="2" t="n"/>
      <c r="G1" s="2" t="n"/>
      <c r="I1" s="14" t="inlineStr">
        <is>
          <t>PARAMETROS</t>
        </is>
      </c>
    </row>
    <row r="2">
      <c r="I2" s="15" t="inlineStr">
        <is>
          <t>N1_PAX</t>
        </is>
      </c>
      <c r="J2" s="16" t="n">
        <v>3</v>
      </c>
    </row>
    <row r="3" ht="20" customHeight="1">
      <c r="A3" s="4" t="inlineStr">
        <is>
          <t>PRESUPUESTO POR CATEGORIA</t>
        </is>
      </c>
      <c r="B3" s="5" t="n"/>
      <c r="C3" s="5" t="n"/>
      <c r="D3" s="5" t="n"/>
      <c r="E3" s="5" t="n"/>
      <c r="F3" s="5" t="n"/>
      <c r="G3" s="5" t="n"/>
      <c r="I3" s="15" t="inlineStr">
        <is>
          <t>N2_PAX</t>
        </is>
      </c>
      <c r="J3" s="16" t="n">
        <v>2</v>
      </c>
    </row>
    <row r="4" ht="30" customHeight="1">
      <c r="A4" s="17" t="inlineStr">
        <is>
          <t>Categoria</t>
        </is>
      </c>
      <c r="B4" s="17" t="inlineStr">
        <is>
          <t>Descripcion</t>
        </is>
      </c>
      <c r="C4" s="17" t="inlineStr">
        <is>
          <t>Costo Total USD</t>
        </is>
      </c>
      <c r="D4" s="17" t="inlineStr">
        <is>
          <t>Nucleo 1 USD</t>
        </is>
      </c>
      <c r="E4" s="17" t="inlineStr">
        <is>
          <t>Nucleo 2 USD</t>
        </is>
      </c>
      <c r="F4" s="17" t="inlineStr">
        <is>
          <t>Nucleo 3 USD</t>
        </is>
      </c>
      <c r="G4" s="17" t="inlineStr">
        <is>
          <t>Costo Nico (50% N3)</t>
        </is>
      </c>
      <c r="I4" s="15" t="inlineStr">
        <is>
          <t>N3_PAX</t>
        </is>
      </c>
      <c r="J4" s="16" t="n">
        <v>2</v>
      </c>
    </row>
    <row r="5" ht="42" customHeight="1">
      <c r="A5" s="18" t="inlineStr">
        <is>
          <t>Disney (Art of Animation)</t>
        </is>
      </c>
      <c r="B5" s="19" t="inlineStr">
        <is>
          <t>3 reservas separadas, 05 al 12-feb-2027 (7 noches), Quick-Service Dining Plan incluido. Res.#43028633 (N1, 5-Day) / Res.#43028415 (N2, 4-Day) / Res.#43028783 (N3, 5-Day).</t>
        </is>
      </c>
      <c r="C5" s="20">
        <f>SUM(D5:F5)</f>
        <v/>
      </c>
      <c r="D5" s="21" t="n">
        <v>5988.35</v>
      </c>
      <c r="E5" s="21" t="n">
        <v>4876.79</v>
      </c>
      <c r="F5" s="21" t="n">
        <v>5008.57</v>
      </c>
      <c r="G5" s="20">
        <f>F5/2</f>
        <v/>
      </c>
      <c r="I5" s="15" t="inlineStr">
        <is>
          <t>TOTAL_PAX</t>
        </is>
      </c>
      <c r="J5" s="16" t="n">
        <v>7</v>
      </c>
    </row>
    <row r="6" ht="42" customHeight="1">
      <c r="A6" s="18" t="inlineStr">
        <is>
          <t>Universal (Dockside Inn)</t>
        </is>
      </c>
      <c r="B6" s="19" t="inlineStr">
        <is>
          <t>12 al 17-feb-2027 (5 noches). Res. X2W124U2 (N1, Standard 2Q) = $3,204.59. Res. 63W124U2 (N2+N3 juntos, Suite 2BR, 4 adultos) = $4,433.94, dividido 50/50 entre N2 y N3.</t>
        </is>
      </c>
      <c r="C6" s="20">
        <f>SUM(D6:F6)</f>
        <v/>
      </c>
      <c r="D6" s="21" t="n">
        <v>3204.59</v>
      </c>
      <c r="E6" s="21" t="n">
        <v>2216.97</v>
      </c>
      <c r="F6" s="21" t="n">
        <v>2216.97</v>
      </c>
      <c r="G6" s="20">
        <f>F6/2</f>
        <v/>
      </c>
      <c r="I6" s="15" t="inlineStr">
        <is>
          <t>N1_ADULTS</t>
        </is>
      </c>
      <c r="J6" s="16" t="n">
        <v>2</v>
      </c>
    </row>
    <row r="7" ht="42" customHeight="1">
      <c r="A7" s="18" t="inlineStr">
        <is>
          <t>Vuelos</t>
        </is>
      </c>
      <c r="B7" s="19" t="inlineStr">
        <is>
          <t>4 tramos AA (PNR ETPWSR / booking B4ZHG8): EZE-MIA AA982, MIA-MCO AA1856 (05-feb), MCO-MIA AA1741 (17-feb), MIA-EZE AA931 (22-feb). Costo NO figura en el e-ticket.</t>
        </is>
      </c>
      <c r="C7" s="22" t="n">
        <v>0</v>
      </c>
      <c r="D7" s="21">
        <f>C7</f>
        <v/>
      </c>
      <c r="E7" s="21" t="n">
        <v>0</v>
      </c>
      <c r="F7" s="21" t="n">
        <v>0</v>
      </c>
      <c r="G7" s="21" t="n">
        <v>0</v>
      </c>
      <c r="I7" s="15" t="inlineStr">
        <is>
          <t>N2_ADULTS</t>
        </is>
      </c>
      <c r="J7" s="16" t="n">
        <v>2</v>
      </c>
    </row>
    <row r="8" ht="42" customHeight="1">
      <c r="A8" s="18" t="inlineStr">
        <is>
          <t>Traslado MCO - Disney</t>
        </is>
      </c>
      <c r="B8" s="19" t="inlineStr">
        <is>
          <t>Llegada 05-feb: 2 UberXL desde MCO hasta Disney's Art of Animation Resort (7 pax + 21 bultos de equipaje).</t>
        </is>
      </c>
      <c r="C8" s="22" t="n">
        <v>90</v>
      </c>
      <c r="D8" s="21">
        <f>$C8*N1_PAX/TOTAL_PAX</f>
        <v/>
      </c>
      <c r="E8" s="21">
        <f>$C8*N2_PAX/TOTAL_PAX</f>
        <v/>
      </c>
      <c r="F8" s="21">
        <f>$C8*N3_PAX/TOTAL_PAX</f>
        <v/>
      </c>
      <c r="G8" s="21">
        <f>F8/2</f>
        <v/>
      </c>
      <c r="I8" s="15" t="inlineStr">
        <is>
          <t>N3_ADULTS</t>
        </is>
      </c>
      <c r="J8" s="16" t="n">
        <v>2</v>
      </c>
    </row>
    <row r="9" ht="42" customHeight="1">
      <c r="A9" s="18" t="inlineStr">
        <is>
          <t>Traslado Universal - MCO</t>
        </is>
      </c>
      <c r="B9" s="19" t="inlineStr">
        <is>
          <t>Salida 17-feb: 2 UberXL desde Universal Dockside hasta MCO para tomar el vuelo AA1741 a MIA.</t>
        </is>
      </c>
      <c r="C9" s="22" t="n">
        <v>90</v>
      </c>
      <c r="D9" s="21">
        <f>$C9*N1_PAX/TOTAL_PAX</f>
        <v/>
      </c>
      <c r="E9" s="21">
        <f>$C9*N2_PAX/TOTAL_PAX</f>
        <v/>
      </c>
      <c r="F9" s="21">
        <f>$C9*N3_PAX/TOTAL_PAX</f>
        <v/>
      </c>
      <c r="G9" s="21">
        <f>F9/2</f>
        <v/>
      </c>
      <c r="I9" s="15" t="inlineStr">
        <is>
          <t>TOTAL_ADULTS</t>
        </is>
      </c>
      <c r="J9" s="16" t="n">
        <v>6</v>
      </c>
    </row>
    <row r="10" ht="42" customHeight="1">
      <c r="A10" s="18" t="inlineStr">
        <is>
          <t>Hospedaje Miami (Hollywood Beach)</t>
        </is>
      </c>
      <c r="B10" s="19" t="inlineStr">
        <is>
          <t>Departamento 3/4 habitaciones, 17 al 22-feb-2027 (5 noches). Aun sin reservar.</t>
        </is>
      </c>
      <c r="C10" s="22" t="n">
        <v>0</v>
      </c>
      <c r="D10" s="21">
        <f>$C10*N1_PAX/TOTAL_PAX</f>
        <v/>
      </c>
      <c r="E10" s="21">
        <f>$C10*N2_PAX/TOTAL_PAX</f>
        <v/>
      </c>
      <c r="F10" s="21">
        <f>$C10*N3_PAX/TOTAL_PAX</f>
        <v/>
      </c>
      <c r="G10" s="21">
        <f>F10/2</f>
        <v/>
      </c>
      <c r="I10" s="15" t="inlineStr">
        <is>
          <t>DIAS_COMIDA</t>
        </is>
      </c>
      <c r="J10" s="23" t="n">
        <v>11</v>
      </c>
    </row>
    <row r="11" ht="42" customHeight="1">
      <c r="A11" s="18" t="inlineStr">
        <is>
          <t>Alquiler Auto Miami</t>
        </is>
      </c>
      <c r="B11" s="19" t="inlineStr">
        <is>
          <t>Minivan 7 pax (Chrysler Pacifica / Kia Carnival) + seguros CDW/LIS + SunPass, 17 al 22-feb-2027.</t>
        </is>
      </c>
      <c r="C11" s="22" t="n">
        <v>0</v>
      </c>
      <c r="D11" s="21">
        <f>$C11*N1_PAX/TOTAL_PAX</f>
        <v/>
      </c>
      <c r="E11" s="21">
        <f>$C11*N2_PAX/TOTAL_PAX</f>
        <v/>
      </c>
      <c r="F11" s="21">
        <f>$C11*N3_PAX/TOTAL_PAX</f>
        <v/>
      </c>
      <c r="G11" s="21">
        <f>F11/2</f>
        <v/>
      </c>
    </row>
    <row r="12" ht="42" customHeight="1">
      <c r="A12" s="18" t="inlineStr">
        <is>
          <t>Comidas</t>
        </is>
      </c>
      <c r="B12" s="19" t="inlineStr">
        <is>
          <t>$60 USD/dia por adulto, durante Universal + Miami (Disney ya incluye Quick-Service Dining). Dias editable en Parametros (J10).</t>
        </is>
      </c>
      <c r="C12" s="21">
        <f>60*TOTAL_ADULTS*DIAS_COMIDA</f>
        <v/>
      </c>
      <c r="D12" s="21">
        <f>$C12*N1_ADULTS/TOTAL_ADULTS</f>
        <v/>
      </c>
      <c r="E12" s="21">
        <f>$C12*N2_ADULTS/TOTAL_ADULTS</f>
        <v/>
      </c>
      <c r="F12" s="21">
        <f>$C12*N3_ADULTS/TOTAL_ADULTS</f>
        <v/>
      </c>
      <c r="G12" s="21">
        <f>F12/2</f>
        <v/>
      </c>
    </row>
    <row r="13" ht="22" customHeight="1">
      <c r="A13" s="24" t="inlineStr">
        <is>
          <t>TOTALES</t>
        </is>
      </c>
      <c r="B13" s="25" t="n"/>
      <c r="C13" s="26">
        <f>SUM(C5:C12)</f>
        <v/>
      </c>
      <c r="D13" s="26">
        <f>SUM(D5:D12)</f>
        <v/>
      </c>
      <c r="E13" s="26">
        <f>SUM(E5:E12)</f>
        <v/>
      </c>
      <c r="F13" s="26">
        <f>SUM(F5:F12)</f>
        <v/>
      </c>
      <c r="G13" s="26">
        <f>SUM(G5:G12)</f>
        <v/>
      </c>
    </row>
    <row r="15">
      <c r="A15" s="27" t="inlineStr">
        <is>
          <t>Leyenda:</t>
        </is>
      </c>
    </row>
    <row r="16">
      <c r="A16" s="15" t="inlineStr">
        <is>
          <t>Celda amarilla = estimacion/dato editable manualmente.</t>
        </is>
      </c>
    </row>
    <row r="17">
      <c r="A17" s="15" t="inlineStr">
        <is>
          <t>Costo Nico = Nucleo 3 USD / 2 (formula activa, Nicolas paga exactamente la mitad del nucleo).</t>
        </is>
      </c>
    </row>
  </sheetData>
  <mergeCells count="3">
    <mergeCell ref="I1:J1"/>
    <mergeCell ref="A3:G3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5" customWidth="1" min="4" max="4"/>
    <col width="16" customWidth="1" min="5" max="5"/>
    <col width="14" customWidth="1" min="6" max="6"/>
    <col width="30" customWidth="1" min="7" max="7"/>
  </cols>
  <sheetData>
    <row r="1" ht="30" customHeight="1">
      <c r="A1" s="1" t="inlineStr">
        <is>
          <t>REGISTRO DE GASTOS</t>
        </is>
      </c>
      <c r="B1" s="2" t="n"/>
      <c r="C1" s="2" t="n"/>
      <c r="D1" s="2" t="n"/>
      <c r="E1" s="2" t="n"/>
      <c r="F1" s="2" t="n"/>
      <c r="G1" s="2" t="n"/>
    </row>
    <row r="2" ht="34" customHeight="1">
      <c r="A2" s="28" t="inlineStr">
        <is>
          <t>Registro de gastos reales del viaje (Uber, comidas, compras, propinas, etc.), independiente de la Matriz Financiera (que refleja lo ya reservado/facturado). Nico le cuenta cada gasto a Claude por chat y esta hoja se actualiza sola - no hace falta cargar nada a mano aca. Los totales de abajo se recalculan solos con formulas.</t>
        </is>
      </c>
    </row>
    <row r="4" ht="18" customHeight="1">
      <c r="A4" s="29" t="inlineStr">
        <is>
          <t>Fecha</t>
        </is>
      </c>
      <c r="B4" s="29" t="inlineStr">
        <is>
          <t>Categoria</t>
        </is>
      </c>
      <c r="C4" s="29" t="inlineStr">
        <is>
          <t>Descripcion</t>
        </is>
      </c>
      <c r="D4" s="29" t="inlineStr">
        <is>
          <t>Nucleo</t>
        </is>
      </c>
      <c r="E4" s="29" t="inlineStr">
        <is>
          <t>Pagado por</t>
        </is>
      </c>
      <c r="F4" s="29" t="inlineStr">
        <is>
          <t>Monto USD</t>
        </is>
      </c>
      <c r="G4" s="29" t="inlineStr">
        <is>
          <t>Notas</t>
        </is>
      </c>
    </row>
    <row r="5" ht="16" customHeight="1">
      <c r="A5" s="30" t="inlineStr">
        <is>
          <t>A confirmar</t>
        </is>
      </c>
      <c r="B5" s="31" t="inlineStr"/>
      <c r="C5" s="30" t="inlineStr">
        <is>
          <t>Sena de reserva (confirmar si es Universal 63W124U2 o Disney #43028783 - ambas por $200)</t>
        </is>
      </c>
      <c r="D5" s="31" t="inlineStr"/>
      <c r="E5" s="30" t="inlineStr">
        <is>
          <t>Nicolas - Tarjeta credito Santander Rio</t>
        </is>
      </c>
      <c r="F5" s="32" t="n">
        <v>200</v>
      </c>
      <c r="G5" s="30" t="inlineStr">
        <is>
          <t>Avisado por Nico por chat; falta confirmar fecha exacta y a que reserva corresponde.</t>
        </is>
      </c>
    </row>
    <row r="6" ht="16" customHeight="1">
      <c r="A6" s="33" t="n"/>
      <c r="B6" s="33" t="n"/>
      <c r="C6" s="33" t="n"/>
      <c r="D6" s="33" t="n"/>
      <c r="E6" s="33" t="n"/>
      <c r="F6" s="34" t="n"/>
      <c r="G6" s="33" t="n"/>
    </row>
    <row r="7" ht="16" customHeight="1">
      <c r="A7" s="31" t="n"/>
      <c r="B7" s="31" t="n"/>
      <c r="C7" s="31" t="n"/>
      <c r="D7" s="31" t="n"/>
      <c r="E7" s="31" t="n"/>
      <c r="F7" s="32" t="n"/>
      <c r="G7" s="31" t="n"/>
    </row>
    <row r="8" ht="16" customHeight="1">
      <c r="A8" s="33" t="n"/>
      <c r="B8" s="33" t="n"/>
      <c r="C8" s="33" t="n"/>
      <c r="D8" s="33" t="n"/>
      <c r="E8" s="33" t="n"/>
      <c r="F8" s="34" t="n"/>
      <c r="G8" s="33" t="n"/>
    </row>
    <row r="9" ht="16" customHeight="1">
      <c r="A9" s="31" t="n"/>
      <c r="B9" s="31" t="n"/>
      <c r="C9" s="31" t="n"/>
      <c r="D9" s="31" t="n"/>
      <c r="E9" s="31" t="n"/>
      <c r="F9" s="32" t="n"/>
      <c r="G9" s="31" t="n"/>
    </row>
    <row r="10" ht="16" customHeight="1">
      <c r="A10" s="33" t="n"/>
      <c r="B10" s="33" t="n"/>
      <c r="C10" s="33" t="n"/>
      <c r="D10" s="33" t="n"/>
      <c r="E10" s="33" t="n"/>
      <c r="F10" s="34" t="n"/>
      <c r="G10" s="33" t="n"/>
    </row>
    <row r="11" ht="16" customHeight="1">
      <c r="A11" s="31" t="n"/>
      <c r="B11" s="31" t="n"/>
      <c r="C11" s="31" t="n"/>
      <c r="D11" s="31" t="n"/>
      <c r="E11" s="31" t="n"/>
      <c r="F11" s="32" t="n"/>
      <c r="G11" s="31" t="n"/>
    </row>
    <row r="12" ht="16" customHeight="1">
      <c r="A12" s="33" t="n"/>
      <c r="B12" s="33" t="n"/>
      <c r="C12" s="33" t="n"/>
      <c r="D12" s="33" t="n"/>
      <c r="E12" s="33" t="n"/>
      <c r="F12" s="34" t="n"/>
      <c r="G12" s="33" t="n"/>
    </row>
    <row r="13" ht="16" customHeight="1">
      <c r="A13" s="31" t="n"/>
      <c r="B13" s="31" t="n"/>
      <c r="C13" s="31" t="n"/>
      <c r="D13" s="31" t="n"/>
      <c r="E13" s="31" t="n"/>
      <c r="F13" s="32" t="n"/>
      <c r="G13" s="31" t="n"/>
    </row>
    <row r="14" ht="16" customHeight="1">
      <c r="A14" s="33" t="n"/>
      <c r="B14" s="33" t="n"/>
      <c r="C14" s="33" t="n"/>
      <c r="D14" s="33" t="n"/>
      <c r="E14" s="33" t="n"/>
      <c r="F14" s="34" t="n"/>
      <c r="G14" s="33" t="n"/>
    </row>
    <row r="15" ht="16" customHeight="1">
      <c r="A15" s="31" t="n"/>
      <c r="B15" s="31" t="n"/>
      <c r="C15" s="31" t="n"/>
      <c r="D15" s="31" t="n"/>
      <c r="E15" s="31" t="n"/>
      <c r="F15" s="32" t="n"/>
      <c r="G15" s="31" t="n"/>
    </row>
    <row r="16" ht="16" customHeight="1">
      <c r="A16" s="33" t="n"/>
      <c r="B16" s="33" t="n"/>
      <c r="C16" s="33" t="n"/>
      <c r="D16" s="33" t="n"/>
      <c r="E16" s="33" t="n"/>
      <c r="F16" s="34" t="n"/>
      <c r="G16" s="33" t="n"/>
    </row>
    <row r="17" ht="16" customHeight="1">
      <c r="A17" s="31" t="n"/>
      <c r="B17" s="31" t="n"/>
      <c r="C17" s="31" t="n"/>
      <c r="D17" s="31" t="n"/>
      <c r="E17" s="31" t="n"/>
      <c r="F17" s="32" t="n"/>
      <c r="G17" s="31" t="n"/>
    </row>
    <row r="18" ht="16" customHeight="1">
      <c r="A18" s="33" t="n"/>
      <c r="B18" s="33" t="n"/>
      <c r="C18" s="33" t="n"/>
      <c r="D18" s="33" t="n"/>
      <c r="E18" s="33" t="n"/>
      <c r="F18" s="34" t="n"/>
      <c r="G18" s="33" t="n"/>
    </row>
    <row r="19" ht="16" customHeight="1">
      <c r="A19" s="31" t="n"/>
      <c r="B19" s="31" t="n"/>
      <c r="C19" s="31" t="n"/>
      <c r="D19" s="31" t="n"/>
      <c r="E19" s="31" t="n"/>
      <c r="F19" s="32" t="n"/>
      <c r="G19" s="31" t="n"/>
    </row>
    <row r="20" ht="16" customHeight="1">
      <c r="A20" s="33" t="n"/>
      <c r="B20" s="33" t="n"/>
      <c r="C20" s="33" t="n"/>
      <c r="D20" s="33" t="n"/>
      <c r="E20" s="33" t="n"/>
      <c r="F20" s="34" t="n"/>
      <c r="G20" s="33" t="n"/>
    </row>
    <row r="21" ht="16" customHeight="1">
      <c r="A21" s="31" t="n"/>
      <c r="B21" s="31" t="n"/>
      <c r="C21" s="31" t="n"/>
      <c r="D21" s="31" t="n"/>
      <c r="E21" s="31" t="n"/>
      <c r="F21" s="32" t="n"/>
      <c r="G21" s="31" t="n"/>
    </row>
    <row r="22" ht="16" customHeight="1">
      <c r="A22" s="33" t="n"/>
      <c r="B22" s="33" t="n"/>
      <c r="C22" s="33" t="n"/>
      <c r="D22" s="33" t="n"/>
      <c r="E22" s="33" t="n"/>
      <c r="F22" s="34" t="n"/>
      <c r="G22" s="33" t="n"/>
    </row>
    <row r="23" ht="16" customHeight="1">
      <c r="A23" s="31" t="n"/>
      <c r="B23" s="31" t="n"/>
      <c r="C23" s="31" t="n"/>
      <c r="D23" s="31" t="n"/>
      <c r="E23" s="31" t="n"/>
      <c r="F23" s="32" t="n"/>
      <c r="G23" s="31" t="n"/>
    </row>
    <row r="24" ht="16" customHeight="1">
      <c r="A24" s="33" t="n"/>
      <c r="B24" s="33" t="n"/>
      <c r="C24" s="33" t="n"/>
      <c r="D24" s="33" t="n"/>
      <c r="E24" s="33" t="n"/>
      <c r="F24" s="34" t="n"/>
      <c r="G24" s="33" t="n"/>
    </row>
    <row r="25" ht="16" customHeight="1">
      <c r="A25" s="31" t="n"/>
      <c r="B25" s="31" t="n"/>
      <c r="C25" s="31" t="n"/>
      <c r="D25" s="31" t="n"/>
      <c r="E25" s="31" t="n"/>
      <c r="F25" s="32" t="n"/>
      <c r="G25" s="31" t="n"/>
    </row>
    <row r="26" ht="16" customHeight="1">
      <c r="A26" s="33" t="n"/>
      <c r="B26" s="33" t="n"/>
      <c r="C26" s="33" t="n"/>
      <c r="D26" s="33" t="n"/>
      <c r="E26" s="33" t="n"/>
      <c r="F26" s="34" t="n"/>
      <c r="G26" s="33" t="n"/>
    </row>
    <row r="27" ht="16" customHeight="1">
      <c r="A27" s="31" t="n"/>
      <c r="B27" s="31" t="n"/>
      <c r="C27" s="31" t="n"/>
      <c r="D27" s="31" t="n"/>
      <c r="E27" s="31" t="n"/>
      <c r="F27" s="32" t="n"/>
      <c r="G27" s="31" t="n"/>
    </row>
    <row r="28" ht="16" customHeight="1">
      <c r="A28" s="33" t="n"/>
      <c r="B28" s="33" t="n"/>
      <c r="C28" s="33" t="n"/>
      <c r="D28" s="33" t="n"/>
      <c r="E28" s="33" t="n"/>
      <c r="F28" s="34" t="n"/>
      <c r="G28" s="33" t="n"/>
    </row>
    <row r="29" ht="16" customHeight="1">
      <c r="A29" s="31" t="n"/>
      <c r="B29" s="31" t="n"/>
      <c r="C29" s="31" t="n"/>
      <c r="D29" s="31" t="n"/>
      <c r="E29" s="31" t="n"/>
      <c r="F29" s="32" t="n"/>
      <c r="G29" s="31" t="n"/>
    </row>
    <row r="30" ht="16" customHeight="1">
      <c r="A30" s="33" t="n"/>
      <c r="B30" s="33" t="n"/>
      <c r="C30" s="33" t="n"/>
      <c r="D30" s="33" t="n"/>
      <c r="E30" s="33" t="n"/>
      <c r="F30" s="34" t="n"/>
      <c r="G30" s="33" t="n"/>
    </row>
    <row r="31" ht="16" customHeight="1">
      <c r="A31" s="31" t="n"/>
      <c r="B31" s="31" t="n"/>
      <c r="C31" s="31" t="n"/>
      <c r="D31" s="31" t="n"/>
      <c r="E31" s="31" t="n"/>
      <c r="F31" s="32" t="n"/>
      <c r="G31" s="31" t="n"/>
    </row>
    <row r="32" ht="16" customHeight="1">
      <c r="A32" s="33" t="n"/>
      <c r="B32" s="33" t="n"/>
      <c r="C32" s="33" t="n"/>
      <c r="D32" s="33" t="n"/>
      <c r="E32" s="33" t="n"/>
      <c r="F32" s="34" t="n"/>
      <c r="G32" s="33" t="n"/>
    </row>
    <row r="33" ht="16" customHeight="1">
      <c r="A33" s="31" t="n"/>
      <c r="B33" s="31" t="n"/>
      <c r="C33" s="31" t="n"/>
      <c r="D33" s="31" t="n"/>
      <c r="E33" s="31" t="n"/>
      <c r="F33" s="32" t="n"/>
      <c r="G33" s="31" t="n"/>
    </row>
    <row r="34" ht="16" customHeight="1">
      <c r="A34" s="33" t="n"/>
      <c r="B34" s="33" t="n"/>
      <c r="C34" s="33" t="n"/>
      <c r="D34" s="33" t="n"/>
      <c r="E34" s="33" t="n"/>
      <c r="F34" s="34" t="n"/>
      <c r="G34" s="33" t="n"/>
    </row>
    <row r="35" ht="16" customHeight="1">
      <c r="A35" s="31" t="n"/>
      <c r="B35" s="31" t="n"/>
      <c r="C35" s="31" t="n"/>
      <c r="D35" s="31" t="n"/>
      <c r="E35" s="31" t="n"/>
      <c r="F35" s="32" t="n"/>
      <c r="G35" s="31" t="n"/>
    </row>
    <row r="36" ht="16" customHeight="1">
      <c r="A36" s="33" t="n"/>
      <c r="B36" s="33" t="n"/>
      <c r="C36" s="33" t="n"/>
      <c r="D36" s="33" t="n"/>
      <c r="E36" s="33" t="n"/>
      <c r="F36" s="34" t="n"/>
      <c r="G36" s="33" t="n"/>
    </row>
    <row r="37" ht="16" customHeight="1">
      <c r="A37" s="31" t="n"/>
      <c r="B37" s="31" t="n"/>
      <c r="C37" s="31" t="n"/>
      <c r="D37" s="31" t="n"/>
      <c r="E37" s="31" t="n"/>
      <c r="F37" s="32" t="n"/>
      <c r="G37" s="31" t="n"/>
    </row>
    <row r="38" ht="16" customHeight="1">
      <c r="A38" s="33" t="n"/>
      <c r="B38" s="33" t="n"/>
      <c r="C38" s="33" t="n"/>
      <c r="D38" s="33" t="n"/>
      <c r="E38" s="33" t="n"/>
      <c r="F38" s="34" t="n"/>
      <c r="G38" s="33" t="n"/>
    </row>
    <row r="39" ht="16" customHeight="1">
      <c r="A39" s="31" t="n"/>
      <c r="B39" s="31" t="n"/>
      <c r="C39" s="31" t="n"/>
      <c r="D39" s="31" t="n"/>
      <c r="E39" s="31" t="n"/>
      <c r="F39" s="32" t="n"/>
      <c r="G39" s="31" t="n"/>
    </row>
    <row r="40" ht="16" customHeight="1">
      <c r="A40" s="33" t="n"/>
      <c r="B40" s="33" t="n"/>
      <c r="C40" s="33" t="n"/>
      <c r="D40" s="33" t="n"/>
      <c r="E40" s="33" t="n"/>
      <c r="F40" s="34" t="n"/>
      <c r="G40" s="33" t="n"/>
    </row>
    <row r="41" ht="16" customHeight="1">
      <c r="A41" s="31" t="n"/>
      <c r="B41" s="31" t="n"/>
      <c r="C41" s="31" t="n"/>
      <c r="D41" s="31" t="n"/>
      <c r="E41" s="31" t="n"/>
      <c r="F41" s="32" t="n"/>
      <c r="G41" s="31" t="n"/>
    </row>
    <row r="42" ht="16" customHeight="1">
      <c r="A42" s="33" t="n"/>
      <c r="B42" s="33" t="n"/>
      <c r="C42" s="33" t="n"/>
      <c r="D42" s="33" t="n"/>
      <c r="E42" s="33" t="n"/>
      <c r="F42" s="34" t="n"/>
      <c r="G42" s="33" t="n"/>
    </row>
    <row r="43" ht="16" customHeight="1">
      <c r="A43" s="31" t="n"/>
      <c r="B43" s="31" t="n"/>
      <c r="C43" s="31" t="n"/>
      <c r="D43" s="31" t="n"/>
      <c r="E43" s="31" t="n"/>
      <c r="F43" s="32" t="n"/>
      <c r="G43" s="31" t="n"/>
    </row>
    <row r="44" ht="16" customHeight="1">
      <c r="A44" s="33" t="n"/>
      <c r="B44" s="33" t="n"/>
      <c r="C44" s="33" t="n"/>
      <c r="D44" s="33" t="n"/>
      <c r="E44" s="33" t="n"/>
      <c r="F44" s="34" t="n"/>
      <c r="G44" s="33" t="n"/>
    </row>
    <row r="45" ht="16" customHeight="1">
      <c r="A45" s="31" t="n"/>
      <c r="B45" s="31" t="n"/>
      <c r="C45" s="31" t="n"/>
      <c r="D45" s="31" t="n"/>
      <c r="E45" s="31" t="n"/>
      <c r="F45" s="32" t="n"/>
      <c r="G45" s="31" t="n"/>
    </row>
    <row r="47" ht="20" customHeight="1">
      <c r="A47" s="4" t="inlineStr">
        <is>
          <t>RESUMEN AUTOMATICO (se calcula solo a medida que cargas filas arriba)</t>
        </is>
      </c>
      <c r="B47" s="5" t="n"/>
      <c r="C47" s="5" t="n"/>
      <c r="D47" s="5" t="n"/>
      <c r="E47" s="5" t="n"/>
      <c r="F47" s="5" t="n"/>
      <c r="G47" s="5" t="n"/>
    </row>
    <row r="48" ht="16" customHeight="1">
      <c r="A48" s="35" t="inlineStr">
        <is>
          <t>Total Nucleo 1</t>
        </is>
      </c>
      <c r="B48" s="20">
        <f>SUMIF($D$5:$D$45,"Nucleo 1",$F$5:$F$45)</f>
        <v/>
      </c>
      <c r="C48" s="36" t="n"/>
      <c r="D48" s="36" t="n"/>
      <c r="E48" s="36" t="n"/>
      <c r="F48" s="36" t="n"/>
      <c r="G48" s="36" t="n"/>
    </row>
    <row r="49" ht="16" customHeight="1">
      <c r="A49" s="35" t="inlineStr">
        <is>
          <t>Total Nucleo 2</t>
        </is>
      </c>
      <c r="B49" s="20">
        <f>SUMIF($D$5:$D$45,"Nucleo 2",$F$5:$F$45)</f>
        <v/>
      </c>
      <c r="C49" s="36" t="n"/>
      <c r="D49" s="36" t="n"/>
      <c r="E49" s="36" t="n"/>
      <c r="F49" s="36" t="n"/>
      <c r="G49" s="36" t="n"/>
    </row>
    <row r="50" ht="16" customHeight="1">
      <c r="A50" s="35" t="inlineStr">
        <is>
          <t>Total Nucleo 3</t>
        </is>
      </c>
      <c r="B50" s="20">
        <f>SUMIF($D$5:$D$45,"Nucleo 3",$F$5:$F$45)</f>
        <v/>
      </c>
      <c r="C50" s="36" t="n"/>
      <c r="D50" s="36" t="n"/>
      <c r="E50" s="36" t="n"/>
      <c r="F50" s="36" t="n"/>
      <c r="G50" s="36" t="n"/>
    </row>
    <row r="51" ht="16" customHeight="1">
      <c r="A51" s="35" t="inlineStr">
        <is>
          <t>Total Compartido/Todos</t>
        </is>
      </c>
      <c r="B51" s="20">
        <f>SUMIF($D$5:$D$45,"Compartido/Todos",$F$5:$F$45)</f>
        <v/>
      </c>
      <c r="C51" s="36" t="n"/>
      <c r="D51" s="36" t="n"/>
      <c r="E51" s="36" t="n"/>
      <c r="F51" s="36" t="n"/>
      <c r="G51" s="36" t="n"/>
    </row>
    <row r="52" ht="16" customHeight="1">
      <c r="A52" s="35" t="inlineStr">
        <is>
          <t>Costo Nico (50% Nucleo 3)</t>
        </is>
      </c>
      <c r="B52" s="20">
        <f>B50/2</f>
        <v/>
      </c>
      <c r="C52" s="36" t="n"/>
      <c r="D52" s="36" t="n"/>
      <c r="E52" s="36" t="n"/>
      <c r="F52" s="36" t="n"/>
      <c r="G52" s="36" t="n"/>
    </row>
    <row r="53" ht="20" customHeight="1">
      <c r="A53" s="24" t="inlineStr">
        <is>
          <t>TOTAL REGISTRADO</t>
        </is>
      </c>
      <c r="B53" s="26">
        <f>SUM($F$5:$F$45)</f>
        <v/>
      </c>
      <c r="C53" s="25" t="n"/>
      <c r="D53" s="25" t="n"/>
      <c r="E53" s="25" t="n"/>
      <c r="F53" s="25" t="n"/>
      <c r="G53" s="25" t="n"/>
    </row>
    <row r="56" ht="20" customHeight="1">
      <c r="A56" s="4" t="inlineStr">
        <is>
          <t>DEUDAS ENTRE PERSONAS (adelantos de un integrante a nombre de otros)</t>
        </is>
      </c>
      <c r="B56" s="5" t="n"/>
      <c r="C56" s="5" t="n"/>
      <c r="D56" s="5" t="n"/>
      <c r="E56" s="5" t="n"/>
      <c r="F56" s="5" t="n"/>
      <c r="G56" s="5" t="n"/>
    </row>
    <row r="57" ht="18" customHeight="1">
      <c r="A57" s="29" t="inlineStr">
        <is>
          <t>Concepto</t>
        </is>
      </c>
      <c r="B57" s="29" t="inlineStr">
        <is>
          <t>Adelanto pagado por</t>
        </is>
      </c>
      <c r="C57" s="29" t="inlineStr">
        <is>
          <t>A cargo de</t>
        </is>
      </c>
      <c r="D57" s="29" t="inlineStr">
        <is>
          <t>Monto USD</t>
        </is>
      </c>
      <c r="E57" s="29" t="inlineStr">
        <is>
          <t>Estado</t>
        </is>
      </c>
      <c r="F57" s="37" t="n"/>
      <c r="G57" s="38" t="n"/>
    </row>
    <row r="58" ht="40" customHeight="1">
      <c r="A58" s="19" t="inlineStr">
        <is>
          <t>Universal Dockside (reserva conjunta 63W124U2: Florencia, German, Natalia, Nicolas)</t>
        </is>
      </c>
      <c r="B58" s="19" t="inlineStr">
        <is>
          <t>German Agullo (pago la reserva completa)</t>
        </is>
      </c>
      <c r="C58" s="19" t="inlineStr">
        <is>
          <t>Nicolas y Natalia (Nucleo 3) le deben a German la mitad de esta reserva + lo que falte pagar</t>
        </is>
      </c>
      <c r="D58" s="20">
        <f>'Matriz Financiera'!F6</f>
        <v/>
      </c>
      <c r="E58" s="39" t="inlineStr">
        <is>
          <t>Pendiente de liquidar con German</t>
        </is>
      </c>
      <c r="F58" s="36" t="n"/>
      <c r="G58" s="36" t="n"/>
    </row>
    <row r="59" ht="40" customHeight="1">
      <c r="A59" s="19" t="inlineStr">
        <is>
          <t>Disney Art of Animation (reserva #43028783: Natalia, Nicolas)</t>
        </is>
      </c>
      <c r="B59" s="19" t="inlineStr">
        <is>
          <t>Nicolas y Natalia (pagan directo, sin intermediario)</t>
        </is>
      </c>
      <c r="C59" s="19" t="inlineStr">
        <is>
          <t>N/A - no genera deuda entre personas</t>
        </is>
      </c>
      <c r="D59" s="20">
        <f>'Matriz Financiera'!F5</f>
        <v/>
      </c>
      <c r="E59" s="39" t="inlineStr">
        <is>
          <t>Gestionado directamente por Nucleo 3</t>
        </is>
      </c>
      <c r="F59" s="36" t="n"/>
      <c r="G59" s="36" t="n"/>
    </row>
    <row r="61" ht="30" customHeight="1">
      <c r="A61" s="40" t="inlineStr">
        <is>
          <t>El monto de la fila Universal esta enlazado por formula a la Matriz Financiera (Nucleo 3 = mitad de la reserva conjunta 63W124U2). Incluye la sena ya pagada y el saldo que falte liquidar con German a medida que se vaya pagando la reserva completa.</t>
        </is>
      </c>
    </row>
  </sheetData>
  <mergeCells count="8">
    <mergeCell ref="A61:G61"/>
    <mergeCell ref="A1:G1"/>
    <mergeCell ref="A56:G56"/>
    <mergeCell ref="E57:G57"/>
    <mergeCell ref="A2:G2"/>
    <mergeCell ref="E58:G58"/>
    <mergeCell ref="E59:G59"/>
    <mergeCell ref="A47:G47"/>
  </mergeCells>
  <dataValidations count="2">
    <dataValidation sqref="B5:B45" showDropDown="0" showInputMessage="0" showErrorMessage="0" allowBlank="1" type="list">
      <formula1>"Vuelos,Disney,Universal,Hospedaje Miami,Auto/Transporte,Comida,Compras,Seguro,Propinas,Otro"</formula1>
    </dataValidation>
    <dataValidation sqref="D5:D45" showDropDown="0" showInputMessage="0" showErrorMessage="0" allowBlank="1" type="list">
      <formula1>"Nucleo 1,Nucleo 2,Nucleo 3,Compartido/Todos"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52" customWidth="1" min="4" max="4"/>
    <col width="15" customWidth="1" min="5" max="5"/>
    <col width="48" customWidth="1" min="6" max="6"/>
  </cols>
  <sheetData>
    <row r="1" ht="30" customHeight="1">
      <c r="A1" s="1" t="inlineStr">
        <is>
          <t>ITINERARIO FLASH - CALENDARIO FEBRERO 2027</t>
        </is>
      </c>
      <c r="B1" s="2" t="n"/>
      <c r="C1" s="2" t="n"/>
      <c r="D1" s="2" t="n"/>
      <c r="E1" s="2" t="n"/>
      <c r="F1" s="2" t="n"/>
    </row>
    <row r="3" ht="18" customHeight="1">
      <c r="A3" s="29" t="inlineStr">
        <is>
          <t>Fecha</t>
        </is>
      </c>
      <c r="B3" s="29" t="inlineStr">
        <is>
          <t>Hora</t>
        </is>
      </c>
      <c r="C3" s="29" t="inlineStr">
        <is>
          <t>Momento del dia</t>
        </is>
      </c>
      <c r="D3" s="29" t="inlineStr">
        <is>
          <t>Actividad / Lugar</t>
        </is>
      </c>
      <c r="E3" s="29" t="inlineStr">
        <is>
          <t>Estado</t>
        </is>
      </c>
      <c r="F3" s="29" t="inlineStr">
        <is>
          <t>Tip pragmatico</t>
        </is>
      </c>
    </row>
    <row r="4" ht="34" customHeight="1">
      <c r="A4" s="18" t="inlineStr">
        <is>
          <t>05-feb (vie)</t>
        </is>
      </c>
      <c r="B4" s="41" t="inlineStr">
        <is>
          <t>10:10</t>
        </is>
      </c>
      <c r="C4" s="41" t="inlineStr">
        <is>
          <t>Manana</t>
        </is>
      </c>
      <c r="D4" s="19" t="inlineStr">
        <is>
          <t>Vuelo AA982 EZE -&gt; MIA (10:10 a 17:20)</t>
        </is>
      </c>
      <c r="E4" s="42" t="inlineStr">
        <is>
          <t>Confirmado</t>
        </is>
      </c>
      <c r="F4" s="19" t="inlineStr">
        <is>
          <t>-&gt; Check-in online 24h antes; llegar a EZE con 3h de anticipacion por ser vuelo internacional B1/B2.</t>
        </is>
      </c>
    </row>
    <row r="5" ht="34" customHeight="1">
      <c r="A5" s="18" t="inlineStr">
        <is>
          <t>05-feb (vie)</t>
        </is>
      </c>
      <c r="B5" s="41" t="inlineStr">
        <is>
          <t>18:56</t>
        </is>
      </c>
      <c r="C5" s="41" t="inlineStr">
        <is>
          <t>Tarde/Noche</t>
        </is>
      </c>
      <c r="D5" s="19" t="inlineStr">
        <is>
          <t>Conexion AA1856 MIA -&gt; MCO (18:56 a 20:15)</t>
        </is>
      </c>
      <c r="E5" s="42" t="inlineStr">
        <is>
          <t>Confirmado</t>
        </is>
      </c>
      <c r="F5" s="19" t="inlineStr">
        <is>
          <t>-&gt; Conexion corta (1h36) dentro del mismo aeropuerto MIA; no hace falta retirar equipaje si esta chequeado hasta MCO.</t>
        </is>
      </c>
    </row>
    <row r="6" ht="34" customHeight="1">
      <c r="A6" s="18" t="inlineStr">
        <is>
          <t>05-feb (vie)</t>
        </is>
      </c>
      <c r="B6" s="41" t="inlineStr">
        <is>
          <t>20:15</t>
        </is>
      </c>
      <c r="C6" s="41" t="inlineStr">
        <is>
          <t>Noche</t>
        </is>
      </c>
      <c r="D6" s="19" t="inlineStr">
        <is>
          <t>Llegada a Orlando -&gt; Check-in Disney's Art of Animation</t>
        </is>
      </c>
      <c r="E6" s="42" t="inlineStr">
        <is>
          <t>Confirmado</t>
        </is>
      </c>
      <c r="F6" s="19" t="inlineStr">
        <is>
          <t>-&gt; Traslado en 2 UberXL (7 pax + 21 bultos); pedir con anticipacion por horario nocturno.</t>
        </is>
      </c>
    </row>
    <row r="7" ht="34" customHeight="1">
      <c r="A7" s="18" t="inlineStr">
        <is>
          <t>06-feb (sab)</t>
        </is>
      </c>
      <c r="B7" s="41" t="inlineStr">
        <is>
          <t>-</t>
        </is>
      </c>
      <c r="C7" s="41" t="inlineStr">
        <is>
          <t>Todo el dia</t>
        </is>
      </c>
      <c r="D7" s="19" t="inlineStr">
        <is>
          <t>Parque Disney 1</t>
        </is>
      </c>
      <c r="E7" s="42" t="inlineStr">
        <is>
          <t>Confirmado</t>
        </is>
      </c>
      <c r="F7" s="19" t="inlineStr">
        <is>
          <t>-&gt; Comprar Lightning Lane Multi Pass apenas abre la app a las 7am.</t>
        </is>
      </c>
    </row>
    <row r="8" ht="34" customHeight="1">
      <c r="A8" s="18" t="inlineStr">
        <is>
          <t>07-feb (dom)</t>
        </is>
      </c>
      <c r="B8" s="41" t="inlineStr">
        <is>
          <t>-</t>
        </is>
      </c>
      <c r="C8" s="41" t="inlineStr">
        <is>
          <t>Todo el dia</t>
        </is>
      </c>
      <c r="D8" s="19" t="inlineStr">
        <is>
          <t>Parque Disney 2</t>
        </is>
      </c>
      <c r="E8" s="42" t="inlineStr">
        <is>
          <t>Confirmado</t>
        </is>
      </c>
      <c r="F8" s="19" t="inlineStr">
        <is>
          <t>-&gt; Reservar restaurante con Advance Dining Reservation si se sale del Quick-Service.</t>
        </is>
      </c>
    </row>
    <row r="9" ht="34" customHeight="1">
      <c r="A9" s="18" t="inlineStr">
        <is>
          <t>08-feb (lun)</t>
        </is>
      </c>
      <c r="B9" s="41" t="inlineStr">
        <is>
          <t>-</t>
        </is>
      </c>
      <c r="C9" s="41" t="inlineStr">
        <is>
          <t>Todo el dia</t>
        </is>
      </c>
      <c r="D9" s="19" t="inlineStr">
        <is>
          <t>Parque Disney 3</t>
        </is>
      </c>
      <c r="E9" s="42" t="inlineStr">
        <is>
          <t>Confirmado</t>
        </is>
      </c>
      <c r="F9" s="19" t="inlineStr">
        <is>
          <t>-&gt; Dia de mayor concurrencia -&gt; priorizar atracciones top apenas abre el parque.</t>
        </is>
      </c>
    </row>
    <row r="10" ht="34" customHeight="1">
      <c r="A10" s="18" t="inlineStr">
        <is>
          <t>09-feb (mar)</t>
        </is>
      </c>
      <c r="B10" s="41" t="inlineStr">
        <is>
          <t>-</t>
        </is>
      </c>
      <c r="C10" s="41" t="inlineStr">
        <is>
          <t>Todo el dia</t>
        </is>
      </c>
      <c r="D10" s="19" t="inlineStr">
        <is>
          <t>Parque Disney 4</t>
        </is>
      </c>
      <c r="E10" s="42" t="inlineStr">
        <is>
          <t>Confirmado</t>
        </is>
      </c>
      <c r="F10" s="19" t="inlineStr">
        <is>
          <t>-&gt; Aprovechar Extra Magic Hours si el hotel las tiene habilitadas ese dia.</t>
        </is>
      </c>
    </row>
    <row r="11" ht="34" customHeight="1">
      <c r="A11" s="18" t="inlineStr">
        <is>
          <t>10-feb (mie)</t>
        </is>
      </c>
      <c r="B11" s="41" t="inlineStr">
        <is>
          <t>-</t>
        </is>
      </c>
      <c r="C11" s="41" t="inlineStr">
        <is>
          <t>Todo el dia</t>
        </is>
      </c>
      <c r="D11" s="19" t="inlineStr">
        <is>
          <t>Parque Disney 5</t>
        </is>
      </c>
      <c r="E11" s="42" t="inlineStr">
        <is>
          <t>Confirmado</t>
        </is>
      </c>
      <c r="F11" s="19" t="inlineStr">
        <is>
          <t>-&gt; Guardar el ultimo dia de ticket Disney para el parque favorito del grupo.</t>
        </is>
      </c>
    </row>
    <row r="12" ht="34" customHeight="1">
      <c r="A12" s="18" t="inlineStr">
        <is>
          <t>11-feb (jue)</t>
        </is>
      </c>
      <c r="B12" s="41" t="inlineStr">
        <is>
          <t>-</t>
        </is>
      </c>
      <c r="C12" s="41" t="inlineStr">
        <is>
          <t>Todo el dia</t>
        </is>
      </c>
      <c r="D12" s="19" t="inlineStr">
        <is>
          <t>Descanso / Compras en Orlando International Premium Outlets</t>
        </is>
      </c>
      <c r="E12" s="43" t="inlineStr">
        <is>
          <t>Por organizar</t>
        </is>
      </c>
      <c r="F12" s="19" t="inlineStr">
        <is>
          <t>-&gt; Uber compartido con otras familias del resort para bajar el costo del traslado.</t>
        </is>
      </c>
    </row>
    <row r="13" ht="34" customHeight="1">
      <c r="A13" s="18" t="inlineStr">
        <is>
          <t>12-feb (vie)</t>
        </is>
      </c>
      <c r="B13" s="41" t="inlineStr">
        <is>
          <t>11:00</t>
        </is>
      </c>
      <c r="C13" s="41" t="inlineStr">
        <is>
          <t>Manana</t>
        </is>
      </c>
      <c r="D13" s="19" t="inlineStr">
        <is>
          <t>Check-out Disney -&gt; Check-in Universal Dockside Inn</t>
        </is>
      </c>
      <c r="E13" s="42" t="inlineStr">
        <is>
          <t>Confirmado</t>
        </is>
      </c>
      <c r="F13" s="19" t="inlineStr">
        <is>
          <t>-&gt; Guardar equipaje en Bell Services de Disney si el check-in de Universal es mas tarde.</t>
        </is>
      </c>
    </row>
    <row r="14" ht="34" customHeight="1">
      <c r="A14" s="18" t="inlineStr">
        <is>
          <t>12-feb (vie)</t>
        </is>
      </c>
      <c r="B14" s="41" t="inlineStr">
        <is>
          <t>-</t>
        </is>
      </c>
      <c r="C14" s="41" t="inlineStr">
        <is>
          <t>Tarde</t>
        </is>
      </c>
      <c r="D14" s="19" t="inlineStr">
        <is>
          <t>Early Park Admission Universal (segun ticket)</t>
        </is>
      </c>
      <c r="E14" s="42" t="inlineStr">
        <is>
          <t>Confirmado</t>
        </is>
      </c>
      <c r="F14" s="19" t="inlineStr">
        <is>
          <t>-&gt; Usar el transporte gratuito del hotel Dockside en vez de Uber.</t>
        </is>
      </c>
    </row>
    <row r="15" ht="34" customHeight="1">
      <c r="A15" s="18" t="inlineStr">
        <is>
          <t>13-feb (sab)</t>
        </is>
      </c>
      <c r="B15" s="41" t="inlineStr">
        <is>
          <t>-</t>
        </is>
      </c>
      <c r="C15" s="41" t="inlineStr">
        <is>
          <t>Todo el dia</t>
        </is>
      </c>
      <c r="D15" s="19" t="inlineStr">
        <is>
          <t>Universal Epic Universe</t>
        </is>
      </c>
      <c r="E15" s="42" t="inlineStr">
        <is>
          <t>Confirmado</t>
        </is>
      </c>
      <c r="F15" s="19" t="inlineStr">
        <is>
          <t>-&gt; Llegar 45 min antes de la apertura general por controles de seguridad reforzados.</t>
        </is>
      </c>
    </row>
    <row r="16" ht="34" customHeight="1">
      <c r="A16" s="18" t="inlineStr">
        <is>
          <t>14-feb (dom)</t>
        </is>
      </c>
      <c r="B16" s="41" t="inlineStr">
        <is>
          <t>-</t>
        </is>
      </c>
      <c r="C16" s="41" t="inlineStr">
        <is>
          <t>Todo el dia</t>
        </is>
      </c>
      <c r="D16" s="19" t="inlineStr">
        <is>
          <t>Universal's Islands of Adventure</t>
        </is>
      </c>
      <c r="E16" s="42" t="inlineStr">
        <is>
          <t>Confirmado</t>
        </is>
      </c>
      <c r="F16" s="19" t="inlineStr">
        <is>
          <t>-&gt; Ir directo a VelociCoaster apenas abre el parque.</t>
        </is>
      </c>
    </row>
    <row r="17" ht="34" customHeight="1">
      <c r="A17" s="18" t="inlineStr">
        <is>
          <t>15-feb (lun)</t>
        </is>
      </c>
      <c r="B17" s="41" t="inlineStr">
        <is>
          <t>-</t>
        </is>
      </c>
      <c r="C17" s="41" t="inlineStr">
        <is>
          <t>Todo el dia</t>
        </is>
      </c>
      <c r="D17" s="19" t="inlineStr">
        <is>
          <t>Dia libre / Compras</t>
        </is>
      </c>
      <c r="E17" s="43" t="inlineStr">
        <is>
          <t>Por organizar</t>
        </is>
      </c>
      <c r="F17" s="19" t="inlineStr">
        <is>
          <t>-&gt; Aprovechar para lavar ropa; la mayoria de los Dockside tienen lavanderia self-service.</t>
        </is>
      </c>
    </row>
    <row r="18" ht="34" customHeight="1">
      <c r="A18" s="18" t="inlineStr">
        <is>
          <t>16-feb (mar)</t>
        </is>
      </c>
      <c r="B18" s="41" t="inlineStr">
        <is>
          <t>-</t>
        </is>
      </c>
      <c r="C18" s="41" t="inlineStr">
        <is>
          <t>Todo el dia</t>
        </is>
      </c>
      <c r="D18" s="19" t="inlineStr">
        <is>
          <t>Universal Studios Florida</t>
        </is>
      </c>
      <c r="E18" s="42" t="inlineStr">
        <is>
          <t>Confirmado</t>
        </is>
      </c>
      <c r="F18" s="19" t="inlineStr">
        <is>
          <t>-&gt; Usar el Hogwarts Express (Park-to-Park) para moverse entre parques sin volver a la entrada.</t>
        </is>
      </c>
    </row>
    <row r="19" ht="34" customHeight="1">
      <c r="A19" s="18" t="inlineStr">
        <is>
          <t>17-feb (mie)</t>
        </is>
      </c>
      <c r="B19" s="41" t="inlineStr">
        <is>
          <t>-</t>
        </is>
      </c>
      <c r="C19" s="41" t="inlineStr">
        <is>
          <t>Manana</t>
        </is>
      </c>
      <c r="D19" s="19" t="inlineStr">
        <is>
          <t>Check-out Universal -&gt; 2 UberXL a MCO</t>
        </is>
      </c>
      <c r="E19" s="42" t="inlineStr">
        <is>
          <t>Confirmado</t>
        </is>
      </c>
      <c r="F19" s="19" t="inlineStr">
        <is>
          <t>-&gt; Salir con margen: 21 bultos de equipaje hacen mas lento el check-in en el aeropuerto domestico.</t>
        </is>
      </c>
    </row>
    <row r="20" ht="34" customHeight="1">
      <c r="A20" s="18" t="inlineStr">
        <is>
          <t>17-feb (mie)</t>
        </is>
      </c>
      <c r="B20" s="41" t="inlineStr">
        <is>
          <t>10:00</t>
        </is>
      </c>
      <c r="C20" s="41" t="inlineStr">
        <is>
          <t>Manana</t>
        </is>
      </c>
      <c r="D20" s="19" t="inlineStr">
        <is>
          <t>Vuelo AA1741 MCO -&gt; MIA (10:00 a 11:20)</t>
        </is>
      </c>
      <c r="E20" s="42" t="inlineStr">
        <is>
          <t>Confirmado</t>
        </is>
      </c>
      <c r="F20" s="19" t="inlineStr">
        <is>
          <t>-&gt; Vuelo corto domestico; despachar valijas grandes igual (no entran como carry-on).</t>
        </is>
      </c>
    </row>
    <row r="21" ht="34" customHeight="1">
      <c r="A21" s="18" t="inlineStr">
        <is>
          <t>17-feb (mie)</t>
        </is>
      </c>
      <c r="B21" s="41" t="inlineStr">
        <is>
          <t>11:20</t>
        </is>
      </c>
      <c r="C21" s="41" t="inlineStr">
        <is>
          <t>Mediodia/Tarde</t>
        </is>
      </c>
      <c r="D21" s="19" t="inlineStr">
        <is>
          <t>Llegada Miami -&gt; Check-in departamento Hollywood Beach + retiro de minivan</t>
        </is>
      </c>
      <c r="E21" s="43" t="inlineStr">
        <is>
          <t>Por organizar</t>
        </is>
      </c>
      <c r="F21" s="19" t="inlineStr">
        <is>
          <t>-&gt; Retirar la minivan (Chrysler Pacifica/Kia Carnival) directo en el aeropuerto MIA para evitar un traslado extra.</t>
        </is>
      </c>
    </row>
    <row r="22" ht="34" customHeight="1">
      <c r="A22" s="18" t="inlineStr">
        <is>
          <t>18-feb (jue)</t>
        </is>
      </c>
      <c r="B22" s="41" t="inlineStr">
        <is>
          <t>-</t>
        </is>
      </c>
      <c r="C22" s="41" t="inlineStr">
        <is>
          <t>Todo el dia</t>
        </is>
      </c>
      <c r="D22" s="19" t="inlineStr">
        <is>
          <t>Hollywood Beach - playa y Broadwalk</t>
        </is>
      </c>
      <c r="E22" s="43" t="inlineStr">
        <is>
          <t>Por organizar</t>
        </is>
      </c>
      <c r="F22" s="19" t="inlineStr">
        <is>
          <t>-&gt; Comprar en Publix o Walmart apenas se llega para no depender de delivery los primeros dias.</t>
        </is>
      </c>
    </row>
    <row r="23" ht="34" customHeight="1">
      <c r="A23" s="18" t="inlineStr">
        <is>
          <t>19-feb (vie)</t>
        </is>
      </c>
      <c r="B23" s="41" t="inlineStr">
        <is>
          <t>-</t>
        </is>
      </c>
      <c r="C23" s="41" t="inlineStr">
        <is>
          <t>Todo el dia</t>
        </is>
      </c>
      <c r="D23" s="19" t="inlineStr">
        <is>
          <t>Dia libre Miami / Excursion opcional</t>
        </is>
      </c>
      <c r="E23" s="43" t="inlineStr">
        <is>
          <t>Por organizar</t>
        </is>
      </c>
      <c r="F23" s="19" t="inlineStr">
        <is>
          <t>-&gt; Cargar SunPass antes de salir a la ruta para evitar recargos por peaje sin transponder.</t>
        </is>
      </c>
    </row>
    <row r="24" ht="34" customHeight="1">
      <c r="A24" s="18" t="inlineStr">
        <is>
          <t>20-feb (sab)</t>
        </is>
      </c>
      <c r="B24" s="41" t="inlineStr">
        <is>
          <t>-</t>
        </is>
      </c>
      <c r="C24" s="41" t="inlineStr">
        <is>
          <t>Todo el dia</t>
        </is>
      </c>
      <c r="D24" s="19" t="inlineStr">
        <is>
          <t>Miami - paseo urbano (Wynwood / South Beach)</t>
        </is>
      </c>
      <c r="E24" s="43" t="inlineStr">
        <is>
          <t>Por organizar</t>
        </is>
      </c>
      <c r="F24" s="19" t="inlineStr">
        <is>
          <t>-&gt; Estacionamiento pago en South Beach; verificar tarifa horaria antes de dejar la minivan.</t>
        </is>
      </c>
    </row>
    <row r="25" ht="34" customHeight="1">
      <c r="A25" s="18" t="inlineStr">
        <is>
          <t>21-feb (dom)</t>
        </is>
      </c>
      <c r="B25" s="41" t="inlineStr">
        <is>
          <t>-</t>
        </is>
      </c>
      <c r="C25" s="41" t="inlineStr">
        <is>
          <t>Todo el dia</t>
        </is>
      </c>
      <c r="D25" s="19" t="inlineStr">
        <is>
          <t>Ultimo dia libre + preparar valijas</t>
        </is>
      </c>
      <c r="E25" s="43" t="inlineStr">
        <is>
          <t>Por organizar</t>
        </is>
      </c>
      <c r="F25" s="19" t="inlineStr">
        <is>
          <t>-&gt; Revisar franquicia de equipaje del vuelo internacional (distinta a la domestica) antes de repartir compras.</t>
        </is>
      </c>
    </row>
    <row r="26" ht="34" customHeight="1">
      <c r="A26" s="18" t="inlineStr">
        <is>
          <t>22-feb (lun)</t>
        </is>
      </c>
      <c r="B26" s="41" t="inlineStr">
        <is>
          <t>-</t>
        </is>
      </c>
      <c r="C26" s="41" t="inlineStr">
        <is>
          <t>Tarde</t>
        </is>
      </c>
      <c r="D26" s="19" t="inlineStr">
        <is>
          <t>Check-out departamento + devolucion minivan en MIA</t>
        </is>
      </c>
      <c r="E26" s="43" t="inlineStr">
        <is>
          <t>Por organizar</t>
        </is>
      </c>
      <c r="F26" s="19" t="inlineStr">
        <is>
          <t>-&gt; Devolver el tanque lleno para evitar el cargo de combustible de la rentadora.</t>
        </is>
      </c>
    </row>
    <row r="27" ht="34" customHeight="1">
      <c r="A27" s="18" t="inlineStr">
        <is>
          <t>22-feb (lun)</t>
        </is>
      </c>
      <c r="B27" s="41" t="inlineStr">
        <is>
          <t>20:15</t>
        </is>
      </c>
      <c r="C27" s="41" t="inlineStr">
        <is>
          <t>Noche</t>
        </is>
      </c>
      <c r="D27" s="19" t="inlineStr">
        <is>
          <t>Vuelo AA931 MIA -&gt; EZE (20:15, llega 07:25 del 23-feb)</t>
        </is>
      </c>
      <c r="E27" s="42" t="inlineStr">
        <is>
          <t>Confirmado</t>
        </is>
      </c>
      <c r="F27" s="19" t="inlineStr">
        <is>
          <t>-&gt; Llegar a MIA con 3.5h de anticipacion por ser vuelo internacional con 7 pasajeros y equipaje voluminoso.</t>
        </is>
      </c>
    </row>
    <row r="29" ht="18" customHeight="1">
      <c r="A29" s="44" t="inlineStr">
        <is>
          <t>Confirmado = ya reservado/facturado (vuelos, Disney, Universal). Por organizar = todavia sin reserva (Hollywood Beach, minivan, dias libres de Miami).</t>
        </is>
      </c>
    </row>
  </sheetData>
  <mergeCells count="2">
    <mergeCell ref="A1:F1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14" customWidth="1" min="5" max="5"/>
    <col width="10" customWidth="1" min="6" max="6"/>
    <col width="16" customWidth="1" min="7" max="7"/>
    <col width="18" customWidth="1" min="8" max="8"/>
  </cols>
  <sheetData>
    <row r="1" ht="30" customHeight="1">
      <c r="A1" s="1" t="inlineStr">
        <is>
          <t>LOGISTICA TERRESTRE Y VUELOS</t>
        </is>
      </c>
      <c r="B1" s="2" t="n"/>
      <c r="C1" s="2" t="n"/>
      <c r="D1" s="2" t="n"/>
      <c r="E1" s="2" t="n"/>
      <c r="F1" s="2" t="n"/>
      <c r="G1" s="2" t="n"/>
      <c r="H1" s="2" t="n"/>
    </row>
    <row r="3" ht="20" customHeight="1">
      <c r="A3" s="4" t="inlineStr">
        <is>
          <t>TABLA 1: HORARIOS DE VUELOS (PNR AA ETPWSR / Booking B4ZHG8)</t>
        </is>
      </c>
      <c r="B3" s="5" t="n"/>
      <c r="C3" s="5" t="n"/>
      <c r="D3" s="5" t="n"/>
      <c r="E3" s="5" t="n"/>
      <c r="F3" s="5" t="n"/>
      <c r="G3" s="5" t="n"/>
      <c r="H3" s="5" t="n"/>
    </row>
    <row r="4" ht="18" customHeight="1">
      <c r="A4" s="29" t="inlineStr">
        <is>
          <t>Fecha</t>
        </is>
      </c>
      <c r="B4" s="29" t="inlineStr">
        <is>
          <t>Vuelo</t>
        </is>
      </c>
      <c r="C4" s="29" t="inlineStr">
        <is>
          <t>Tramo</t>
        </is>
      </c>
      <c r="D4" s="29" t="inlineStr">
        <is>
          <t>Salida</t>
        </is>
      </c>
      <c r="E4" s="29" t="inlineStr">
        <is>
          <t>Llegada</t>
        </is>
      </c>
      <c r="F4" s="29" t="inlineStr">
        <is>
          <t>Duracion</t>
        </is>
      </c>
      <c r="G4" s="29" t="inlineStr">
        <is>
          <t>Terminal</t>
        </is>
      </c>
      <c r="H4" s="29" t="inlineStr">
        <is>
          <t>Equipo</t>
        </is>
      </c>
    </row>
    <row r="5" ht="16" customHeight="1">
      <c r="A5" s="41" t="inlineStr">
        <is>
          <t>05-feb-2027</t>
        </is>
      </c>
      <c r="B5" s="41" t="inlineStr">
        <is>
          <t>AA 982</t>
        </is>
      </c>
      <c r="C5" s="41" t="inlineStr">
        <is>
          <t>EZE -&gt; MIA</t>
        </is>
      </c>
      <c r="D5" s="41" t="inlineStr">
        <is>
          <t>10:10</t>
        </is>
      </c>
      <c r="E5" s="41" t="inlineStr">
        <is>
          <t>17:20</t>
        </is>
      </c>
      <c r="F5" s="41" t="inlineStr">
        <is>
          <t>9:10</t>
        </is>
      </c>
      <c r="G5" s="41" t="inlineStr">
        <is>
          <t>P (EZE, salida)</t>
        </is>
      </c>
      <c r="H5" s="41" t="inlineStr">
        <is>
          <t>Boeing 787-8</t>
        </is>
      </c>
    </row>
    <row r="6" ht="16" customHeight="1">
      <c r="A6" s="41" t="inlineStr">
        <is>
          <t>05-feb-2027</t>
        </is>
      </c>
      <c r="B6" s="41" t="inlineStr">
        <is>
          <t>AA 1856</t>
        </is>
      </c>
      <c r="C6" s="41" t="inlineStr">
        <is>
          <t>MIA -&gt; MCO</t>
        </is>
      </c>
      <c r="D6" s="41" t="inlineStr">
        <is>
          <t>18:56</t>
        </is>
      </c>
      <c r="E6" s="41" t="inlineStr">
        <is>
          <t>20:15</t>
        </is>
      </c>
      <c r="F6" s="41" t="inlineStr">
        <is>
          <t>1:19</t>
        </is>
      </c>
      <c r="G6" s="41" t="inlineStr">
        <is>
          <t>B (MCO, llegada)</t>
        </is>
      </c>
      <c r="H6" s="41" t="inlineStr">
        <is>
          <t>Boeing 737 MAX 8</t>
        </is>
      </c>
    </row>
    <row r="7" ht="16" customHeight="1">
      <c r="A7" s="41" t="inlineStr">
        <is>
          <t>17-feb-2027</t>
        </is>
      </c>
      <c r="B7" s="41" t="inlineStr">
        <is>
          <t>AA 1741</t>
        </is>
      </c>
      <c r="C7" s="41" t="inlineStr">
        <is>
          <t>MCO -&gt; MIA</t>
        </is>
      </c>
      <c r="D7" s="41" t="inlineStr">
        <is>
          <t>10:00</t>
        </is>
      </c>
      <c r="E7" s="41" t="inlineStr">
        <is>
          <t>11:20</t>
        </is>
      </c>
      <c r="F7" s="41" t="inlineStr">
        <is>
          <t>1:20</t>
        </is>
      </c>
      <c r="G7" s="41" t="inlineStr">
        <is>
          <t>B (MCO, salida)</t>
        </is>
      </c>
      <c r="H7" s="41" t="inlineStr">
        <is>
          <t>Boeing 737 MAX 8</t>
        </is>
      </c>
    </row>
    <row r="8" ht="16" customHeight="1">
      <c r="A8" s="41" t="inlineStr">
        <is>
          <t>22-feb-2027</t>
        </is>
      </c>
      <c r="B8" s="41" t="inlineStr">
        <is>
          <t>AA 931</t>
        </is>
      </c>
      <c r="C8" s="41" t="inlineStr">
        <is>
          <t>MIA -&gt; EZE</t>
        </is>
      </c>
      <c r="D8" s="41" t="inlineStr">
        <is>
          <t>20:15</t>
        </is>
      </c>
      <c r="E8" s="41" t="inlineStr">
        <is>
          <t>07:25 (23-feb)</t>
        </is>
      </c>
      <c r="F8" s="41" t="inlineStr">
        <is>
          <t>9:10</t>
        </is>
      </c>
      <c r="G8" s="41" t="inlineStr">
        <is>
          <t>IA (EZE, llegada)</t>
        </is>
      </c>
      <c r="H8" s="41" t="inlineStr">
        <is>
          <t>Boeing 777-200/200ER</t>
        </is>
      </c>
    </row>
    <row r="10">
      <c r="A10" s="44" t="inlineStr">
        <is>
          <t>Nota: costo de los pasajes no disponible en el e-ticket. Ver fila 'Vuelos' en Matriz Financiera (celda A COMPLETAR).</t>
        </is>
      </c>
    </row>
    <row r="12" ht="20" customHeight="1">
      <c r="A12" s="4" t="inlineStr">
        <is>
          <t>TABLA 2: ANALISIS ALQUILER MINIVAN MIAMI (7 pax, 17 al 22-feb-2027)</t>
        </is>
      </c>
      <c r="B12" s="5" t="n"/>
      <c r="C12" s="5" t="n"/>
      <c r="D12" s="5" t="n"/>
      <c r="E12" s="5" t="n"/>
      <c r="F12" s="5" t="n"/>
      <c r="G12" s="5" t="n"/>
      <c r="H12" s="5" t="n"/>
    </row>
    <row r="13" ht="18" customHeight="1">
      <c r="A13" s="45" t="inlineStr">
        <is>
          <t>Concepto</t>
        </is>
      </c>
      <c r="B13" s="45" t="inlineStr">
        <is>
          <t>Detalle</t>
        </is>
      </c>
      <c r="C13" s="37" t="n"/>
      <c r="D13" s="37" t="n"/>
      <c r="E13" s="37" t="n"/>
      <c r="F13" s="38" t="n"/>
    </row>
    <row r="14" ht="30" customHeight="1">
      <c r="A14" s="33" t="inlineStr">
        <is>
          <t>Tarifa base</t>
        </is>
      </c>
      <c r="B14" s="19" t="inlineStr">
        <is>
          <t>Minivan 7 pax (Chrysler Pacifica / Kia Carnival), 5 dias, retiro/devolucion en MIA</t>
        </is>
      </c>
      <c r="C14" s="36" t="n"/>
      <c r="D14" s="36" t="n"/>
      <c r="E14" s="36" t="n"/>
      <c r="F14" s="36" t="n"/>
      <c r="G14" s="22" t="n">
        <v>0</v>
      </c>
    </row>
    <row r="15" ht="30" customHeight="1">
      <c r="A15" s="33" t="inlineStr">
        <is>
          <t>Seguro CDW</t>
        </is>
      </c>
      <c r="B15" s="19" t="inlineStr">
        <is>
          <t>Collision Damage Waiver. Verificar cobertura Visa Signature/AIG del titular antes de contratarlo con la rentadora.</t>
        </is>
      </c>
      <c r="C15" s="36" t="n"/>
      <c r="D15" s="36" t="n"/>
      <c r="E15" s="36" t="n"/>
      <c r="F15" s="36" t="n"/>
      <c r="G15" s="22" t="n">
        <v>0</v>
      </c>
    </row>
    <row r="16" ht="30" customHeight="1">
      <c r="A16" s="33" t="inlineStr">
        <is>
          <t>Seguro LIS</t>
        </is>
      </c>
      <c r="B16" s="19" t="inlineStr">
        <is>
          <t>Liability Insurance Supplement</t>
        </is>
      </c>
      <c r="C16" s="36" t="n"/>
      <c r="D16" s="36" t="n"/>
      <c r="E16" s="36" t="n"/>
      <c r="F16" s="36" t="n"/>
      <c r="G16" s="22" t="n">
        <v>0</v>
      </c>
    </row>
    <row r="17" ht="30" customHeight="1">
      <c r="A17" s="33" t="inlineStr">
        <is>
          <t>Peajes / SunPass</t>
        </is>
      </c>
      <c r="B17" s="19" t="inlineStr">
        <is>
          <t>Transponder o pase electronico para autopistas de Florida durante los 5 dias</t>
        </is>
      </c>
      <c r="C17" s="36" t="n"/>
      <c r="D17" s="36" t="n"/>
      <c r="E17" s="36" t="n"/>
      <c r="F17" s="36" t="n"/>
      <c r="G17" s="22" t="n">
        <v>0</v>
      </c>
    </row>
    <row r="18" ht="30" customHeight="1">
      <c r="A18" s="33" t="inlineStr">
        <is>
          <t>Estacionamiento Hollywood</t>
        </is>
      </c>
      <c r="B18" s="19" t="inlineStr">
        <is>
          <t>Estacionamiento del departamento/edificio en Hollywood Beach</t>
        </is>
      </c>
      <c r="C18" s="36" t="n"/>
      <c r="D18" s="36" t="n"/>
      <c r="E18" s="36" t="n"/>
      <c r="F18" s="36" t="n"/>
      <c r="G18" s="22" t="n">
        <v>0</v>
      </c>
    </row>
    <row r="19" ht="20" customHeight="1">
      <c r="A19" s="46" t="inlineStr">
        <is>
          <t>SUBTOTAL ALQUILER AUTO</t>
        </is>
      </c>
      <c r="B19" s="25" t="n"/>
      <c r="C19" s="25" t="n"/>
      <c r="D19" s="25" t="n"/>
      <c r="E19" s="25" t="n"/>
      <c r="F19" s="25" t="n"/>
      <c r="G19" s="47">
        <f>SUM(G14:G18)</f>
        <v/>
      </c>
    </row>
    <row r="21" ht="30" customHeight="1">
      <c r="A21" s="40" t="inlineStr">
        <is>
          <t>Este subtotal debe transcribirse manualmente a la fila 'Alquiler Auto Miami' (columna Costo Total USD) de la pestana Matriz Financiera cuando se confirme la cotizacion real de la rentadora.</t>
        </is>
      </c>
    </row>
  </sheetData>
  <mergeCells count="12">
    <mergeCell ref="A12:H12"/>
    <mergeCell ref="A3:H3"/>
    <mergeCell ref="A21:H21"/>
    <mergeCell ref="B16:F16"/>
    <mergeCell ref="A19:F19"/>
    <mergeCell ref="B15:F15"/>
    <mergeCell ref="A10:H10"/>
    <mergeCell ref="B14:F14"/>
    <mergeCell ref="A1:H1"/>
    <mergeCell ref="B17:F17"/>
    <mergeCell ref="B18:F18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GUIA OPERATIVA</t>
        </is>
      </c>
    </row>
    <row r="3" ht="20" customHeight="1">
      <c r="A3" s="4" t="inlineStr">
        <is>
          <t>TIP: COMPRAS EN WALMART / PUBLIX (HOLLYWOOD BEACH)</t>
        </is>
      </c>
    </row>
    <row r="4" ht="70" customHeight="1">
      <c r="A4" s="9" t="inlineStr">
        <is>
          <t>Al llegar al departamento en Hollywood Beach, hacer una compra grande en Walmart o Publix (desayuno, snacks, agua, algo de cocina simple) en vez de comer afuera las 3 comidas. Con cocina disponible en el departamento esto reduce fuertemente el gasto diario de comida frente a los $60 USD/adulto/dia estimados en la Matriz Financiera para Universal + Miami.</t>
        </is>
      </c>
    </row>
    <row r="6" ht="20" customHeight="1">
      <c r="A6" s="4" t="inlineStr">
        <is>
          <t>TIP: SEGURO DEL AUTO YA CUBIERTO (VISA SIGNATURE / AIG)</t>
        </is>
      </c>
    </row>
    <row r="7" ht="70" customHeight="1">
      <c r="A7" s="9" t="inlineStr">
        <is>
          <t>La tarjeta Visa Signature (Argentina) tiene un beneficio de Danio a la Propiedad de Vehiculos Alquilados (CDW) provisto por AIG, sin costo adicional, valido a nivel mundial. Antes de contratar el CDW de la rentadora en Miami, confirmar con el banco emisor la vigencia y el tope de cobertura para esa tarjeta; si aplica, se puede rechazar el CDW de la rentadora y ahorrar ese costo en la Tabla 2 de la pestana 'Logistica Terrestre y Vuelos'.</t>
        </is>
      </c>
    </row>
    <row r="9" ht="20" customHeight="1">
      <c r="A9" s="4" t="inlineStr">
        <is>
          <t>TIP: EQUIPAJE EN EL TRAMO INTERNO MCO-MIA (17-feb)</t>
        </is>
      </c>
    </row>
    <row r="10" ht="60" customHeight="1">
      <c r="A10" s="9" t="inlineStr">
        <is>
          <t>El grupo viaja con 21 bultos (7 valijas grandes + 7 carry-on + 7 mochilas). Para el vuelo domestico AA1741 MCO-MIA hay que despachar las valijas grandes igual que en un vuelo internacional; calcular al menos 2 horas de anticipacion en el aeropuerto de Orlando para no correr con el chequeo de equipaje.</t>
        </is>
      </c>
    </row>
    <row r="12" ht="20" customHeight="1">
      <c r="A12" s="4" t="inlineStr">
        <is>
          <t>FORMULA DE CONTROL DEL PRESUPUESTO TOTAL DEL GRUPO</t>
        </is>
      </c>
    </row>
    <row r="13" ht="40" customHeight="1">
      <c r="A13" s="48" t="inlineStr">
        <is>
          <t>C_total_grupo = N x ( C_hospedaje + C_atracciones + n x (C_comida + C_transporte_local) + C_seguro )</t>
        </is>
      </c>
    </row>
    <row r="14" ht="55" customHeight="1">
      <c r="A14" s="40" t="inlineStr">
        <is>
          <t>Donde N = cantidad total de personas del grupo (7), n = cantidad de personas que comparten gastos diarios de comida y transporte local, C_hospedaje = costo de alojamiento, C_atracciones = costo de tickets a parques, C_comida = costo diario de comida por persona, C_transporte_local = costo diario de transporte local por persona, C_seguro = costo del seguro de asistencia medica internacional.</t>
        </is>
      </c>
    </row>
  </sheetData>
  <mergeCells count="5">
    <mergeCell ref="A6"/>
    <mergeCell ref="A12"/>
    <mergeCell ref="A9"/>
    <mergeCell ref="A3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2026-07-18T22:48:58Z</dcterms:created>
  <dcterms:modified xsi:type="dcterms:W3CDTF">2026-07-18T22:48:58Z</dcterms:modified>
</cp:coreProperties>
</file>